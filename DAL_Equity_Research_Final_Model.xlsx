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a1c2612a9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Overview" sheetId="1" r:id="R117385d790894779"/>
    <x:sheet xmlns:r="http://schemas.openxmlformats.org/officeDocument/2006/relationships" name="2_Historical" sheetId="2" r:id="R8693dad0a2b94de3"/>
    <x:sheet xmlns:r="http://schemas.openxmlformats.org/officeDocument/2006/relationships" name="3_Operating_Drivers" sheetId="3" r:id="R764bc4f1b23f47b5"/>
    <x:sheet xmlns:r="http://schemas.openxmlformats.org/officeDocument/2006/relationships" name="4_Forecast" sheetId="4" r:id="Rd5ad9e4fb0b444cf"/>
    <x:sheet xmlns:r="http://schemas.openxmlformats.org/officeDocument/2006/relationships" name="5_Valuation" sheetId="5" r:id="R764c8ee56fd846cd"/>
    <x:sheet xmlns:r="http://schemas.openxmlformats.org/officeDocument/2006/relationships" name="6_Peers" sheetId="6" r:id="Rf6117cfaa54a4dd4"/>
    <x:sheet xmlns:r="http://schemas.openxmlformats.org/officeDocument/2006/relationships" name="7_Scenarios" sheetId="7" r:id="Re14ef8068e8846dd"/>
    <x:sheet xmlns:r="http://schemas.openxmlformats.org/officeDocument/2006/relationships" name="8_Research_Thesis" sheetId="8" r:id="Rc2d34e9bc78c421a"/>
    <x:sheet xmlns:r="http://schemas.openxmlformats.org/officeDocument/2006/relationships" name="9_Sources" sheetId="9" r:id="R90bee93c53d7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;[Red](#,##0);-"/>
    <x:numFmt numFmtId="201" formatCode="0.00;[Red](0.00);-"/>
    <x:numFmt numFmtId="202" formatCode="0.0%;[Red](0.0%);-"/>
    <x:numFmt numFmtId="203" formatCode="0%;[Red](0%);-"/>
    <x:numFmt numFmtId="204" formatCode="$0.00;[Red]($0.00);-"/>
    <x:numFmt numFmtId="205" formatCode="#,##0.0;[Red](#,##0.0);-"/>
    <x:numFmt numFmtId="206" formatCode="0.000x"/>
    <x:numFmt numFmtId="207" formatCode="$0.00"/>
    <x:numFmt numFmtId="208" formatCode="0.0x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i/>
      <x:sz val="11"/>
      <x:name val="Carlito"/>
    </x:font>
    <x:font>
      <x:b/>
      <x:sz val="11"/>
      <x:color rgb="FF008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0B1F3A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4" fontId="5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2" fillId="6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horizontal="left" vertical="center"/>
    </x:xf>
    <x:xf numFmtId="204" fontId="3" fillId="0" borderId="0" xfId="0" applyNumberFormat="1" applyFont="1" applyFill="1" applyBorder="1"/>
    <x:xf numFmtId="200" fontId="3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left"/>
    </x:xf>
    <x:xf numFmtId="200" fontId="4" fillId="5" borderId="0" xfId="0" applyNumberFormat="1" applyFont="1" applyFill="1" applyBorder="1" applyAlignment="1">
      <x:alignment horizontal="left" vertical="center"/>
    </x:xf>
    <x:xf numFmtId="202" fontId="3" fillId="5" borderId="0" xfId="0" applyNumberFormat="1" applyFont="1" applyFill="1" applyBorder="1"/>
    <x:xf numFmtId="202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2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0" fontId="5" fillId="4" borderId="0" xfId="0" applyNumberFormat="1" applyFont="1" applyFill="1" applyBorder="1"/>
    <x:xf numFmtId="202" fontId="5" fillId="0" borderId="0" xfId="0" applyNumberFormat="1" applyFont="1" applyFill="1" applyBorder="1"/>
    <x:xf numFmtId="204" fontId="6" fillId="0" borderId="0" xfId="0" applyNumberFormat="1" applyFont="1" applyFill="1" applyBorder="1"/>
    <x:xf numFmtId="202" fontId="5" fillId="7" borderId="0" xfId="0" applyNumberFormat="1" applyFont="1" applyFill="1" applyBorder="1"/>
    <x:xf numFmtId="205" fontId="5" fillId="7" borderId="0" xfId="0" applyNumberFormat="1" applyFont="1" applyFill="1" applyBorder="1"/>
    <x:xf numFmtId="200" fontId="5" fillId="7" borderId="0" xfId="0" applyNumberFormat="1" applyFont="1" applyFill="1" applyBorder="1"/>
    <x:xf numFmtId="204" fontId="5" fillId="7" borderId="0" xfId="0" applyNumberFormat="1" applyFont="1" applyFill="1" applyBorder="1"/>
    <x:xf numFmtId="206" fontId="3" fillId="0" borderId="0" xfId="0" applyNumberFormat="1" applyFont="1" applyFill="1" applyBorder="1"/>
    <x:xf numFmtId="207" fontId="5" fillId="0" borderId="0" xfId="0" applyNumberFormat="1" applyFont="1" applyFill="1" applyBorder="1"/>
    <x:xf numFmtId="208" fontId="5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207" fontId="0" fillId="0" borderId="0" xfId="0" applyNumberFormat="1" applyFont="1" applyFill="1" applyBorder="1"/>
    <x:xf numFmtId="207" fontId="3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7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right" vertical="center" wrapText="1"/>
    </x:xf>
    <x:xf numFmtId="200" fontId="5" fillId="0" borderId="0" xfId="0" applyNumberFormat="1" applyFont="1" applyFill="1" applyBorder="1" applyAlignment="1">
      <x:alignment horizontal="right" wrapText="1"/>
    </x:xf>
    <x:xf numFmtId="202" fontId="6" fillId="0" borderId="0" xfId="0" applyNumberFormat="1" applyFont="1" applyFill="1" applyBorder="1" applyAlignment="1">
      <x:alignment horizontal="right" wrapText="1"/>
    </x:xf>
    <x:xf numFmtId="201" fontId="5" fillId="0" borderId="0" xfId="0" applyNumberFormat="1" applyFont="1" applyFill="1" applyBorder="1" applyAlignment="1">
      <x:alignment horizontal="right" wrapText="1"/>
    </x:xf>
    <x:xf numFmtId="200" fontId="6" fillId="0" borderId="0" xfId="0" applyNumberFormat="1" applyFont="1" applyFill="1" applyBorder="1" applyAlignment="1">
      <x:alignment horizontal="right" wrapText="1"/>
    </x:xf>
    <x:xf numFmtId="203" fontId="5" fillId="0" borderId="0" xfId="0" applyNumberFormat="1" applyFont="1" applyFill="1" applyBorder="1" applyAlignment="1">
      <x:alignment horizontal="right" wrapText="1"/>
    </x:xf>
    <x:xf numFmtId="204" fontId="5" fillId="0" borderId="0" xfId="0" applyNumberFormat="1" applyFont="1" applyFill="1" applyBorder="1" applyAlignment="1">
      <x:alignment horizontal="right" wrapText="1"/>
    </x:xf>
    <x:xf numFmtId="0" fontId="4" fillId="5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0" fontId="5" fillId="4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/>
    </x:xf>
    <x:xf numFmtId="200" fontId="6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 applyAlignment="1">
      <x:alignment horizontal="right"/>
    </x:xf>
    <x:xf numFmtId="202" fontId="6" fillId="0" borderId="0" xfId="0" applyNumberFormat="1" applyFont="1" applyFill="1" applyBorder="1" applyAlignment="1">
      <x:alignment horizontal="right"/>
    </x:xf>
    <x:xf numFmtId="204" fontId="5" fillId="0" borderId="0" xfId="0" applyNumberFormat="1" applyFont="1" applyFill="1" applyBorder="1" applyAlignment="1">
      <x:alignment horizontal="right"/>
    </x:xf>
    <x:xf numFmtId="204" fontId="6" fillId="0" borderId="0" xfId="0" applyNumberFormat="1" applyFont="1" applyFill="1" applyBorder="1" applyAlignment="1">
      <x:alignment horizontal="right"/>
    </x:xf>
    <x:xf numFmtId="204" fontId="5" fillId="7" borderId="0" xfId="0" applyNumberFormat="1" applyFont="1" applyFill="1" applyBorder="1" applyAlignment="1">
      <x:alignment horizontal="right"/>
    </x:xf>
    <x:xf numFmtId="205" fontId="5" fillId="7" borderId="0" xfId="0" applyNumberFormat="1" applyFont="1" applyFill="1" applyBorder="1" applyAlignment="1">
      <x:alignment horizontal="right"/>
    </x:xf>
    <x:xf numFmtId="202" fontId="5" fillId="7" borderId="0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/>
    </x:xf>
    <x:xf numFmtId="206" fontId="3" fillId="0" borderId="0" xfId="0" applyNumberFormat="1" applyFont="1" applyFill="1" applyBorder="1" applyAlignment="1">
      <x:alignment horizontal="right"/>
    </x:xf>
    <x:xf numFmtId="207" fontId="5" fillId="0" borderId="0" xfId="0" applyNumberFormat="1" applyFont="1" applyFill="1" applyBorder="1" applyAlignment="1">
      <x:alignment horizontal="right"/>
    </x:xf>
    <x:xf numFmtId="208" fontId="5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ccc4ffc334da2" /><Relationship Type="http://schemas.openxmlformats.org/officeDocument/2006/relationships/theme" Target="/xl/theme/theme1.xml" Id="Rb5e5c9ba0d654633" /><Relationship Type="http://schemas.openxmlformats.org/officeDocument/2006/relationships/sharedStrings" Target="/xl/sharedStrings.xml" Id="R368f565a8b9842b8" /><Relationship Type="http://schemas.openxmlformats.org/officeDocument/2006/relationships/worksheet" Target="/xl/worksheets/sheet1.xml" Id="R117385d790894779" /><Relationship Type="http://schemas.openxmlformats.org/officeDocument/2006/relationships/worksheet" Target="/xl/worksheets/sheet2.xml" Id="R8693dad0a2b94de3" /><Relationship Type="http://schemas.openxmlformats.org/officeDocument/2006/relationships/worksheet" Target="/xl/worksheets/sheet3.xml" Id="R764bc4f1b23f47b5" /><Relationship Type="http://schemas.openxmlformats.org/officeDocument/2006/relationships/worksheet" Target="/xl/worksheets/sheet4.xml" Id="Rd5ad9e4fb0b444cf" /><Relationship Type="http://schemas.openxmlformats.org/officeDocument/2006/relationships/worksheet" Target="/xl/worksheets/sheet5.xml" Id="R764c8ee56fd846cd" /><Relationship Type="http://schemas.openxmlformats.org/officeDocument/2006/relationships/worksheet" Target="/xl/worksheets/sheet6.xml" Id="Rf6117cfaa54a4dd4" /><Relationship Type="http://schemas.openxmlformats.org/officeDocument/2006/relationships/worksheet" Target="/xl/worksheets/sheet7.xml" Id="Re14ef8068e8846dd" /><Relationship Type="http://schemas.openxmlformats.org/officeDocument/2006/relationships/worksheet" Target="/xl/worksheets/sheet8.xml" Id="Rc2d34e9bc78c421a" /><Relationship Type="http://schemas.openxmlformats.org/officeDocument/2006/relationships/worksheet" Target="/xl/worksheets/sheet9.xml" Id="R90bee93c53d74d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4fc7243aae473a" /><Relationship Type="http://schemas.openxmlformats.org/officeDocument/2006/relationships/chart" Target="/xl/drawings/charts/chart2.xml" Id="R9561237c813a44b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7c1dfe963dc4f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Outlook ($mm)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2025A</c:v>
          </c:tx>
          <c:marker>
            <c:symbol val="none"/>
          </c:marker>
          <c:cat>
            <c:strRef>
              <c:f>'1_Overview'!$F$5</c:f>
              <c:strCache>
                <c:ptCount val="0"/>
              </c:strCache>
            </c:strRef>
          </c:cat>
          <c:val>
            <c:numRef>
              <c:f>'1_Overview'!$G$5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2026E</c:v>
          </c:tx>
          <c:marker>
            <c:symbol val="none"/>
          </c:marker>
          <c:cat>
            <c:strRef>
              <c:f>'1_Overview'!$F$5</c:f>
              <c:strCache>
                <c:ptCount val="0"/>
              </c:strCache>
            </c:strRef>
          </c:cat>
          <c:val>
            <c:numRef>
              <c:f>'1_Overview'!$H$5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2027E</c:v>
          </c:tx>
          <c:marker>
            <c:symbol val="none"/>
          </c:marker>
          <c:cat>
            <c:strRef>
              <c:f>'1_Overview'!$F$5</c:f>
              <c:strCache>
                <c:ptCount val="0"/>
              </c:strCache>
            </c:strRef>
          </c:cat>
          <c:val>
            <c:numRef>
              <c:f>'1_Overview'!$I$5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2028E</c:v>
          </c:tx>
          <c:marker>
            <c:symbol val="none"/>
          </c:marker>
          <c:cat>
            <c:strRef>
              <c:f>'1_Overview'!$F$5</c:f>
              <c:strCache>
                <c:ptCount val="0"/>
              </c:strCache>
            </c:strRef>
          </c:cat>
          <c:val>
            <c:numRef>
              <c:f>'1_Overview'!$J$5</c:f>
              <c:numCache>
                <c:formatCode>#,##0;[Red](#,##0);-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Fair Value / Share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Bear</c:v>
          </c:tx>
          <c:cat>
            <c:strRef>
              <c:f>'7_Scenarios'!$A$14:$A$17</c:f>
              <c:strCache>
                <c:ptCount val="0"/>
              </c:strCache>
            </c:strRef>
          </c:cat>
          <c:val>
            <c:numRef>
              <c:f>'7_Scenarios'!$B$14:$B$17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cat>
            <c:strRef>
              <c:f>'7_Scenarios'!$A$14:$A$17</c:f>
              <c:strCache>
                <c:ptCount val="0"/>
              </c:strCache>
            </c:strRef>
          </c:cat>
          <c:val>
            <c:numRef>
              <c:f>'7_Scenarios'!$C$14:$C$17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Bull</c:v>
          </c:tx>
          <c:cat>
            <c:strRef>
              <c:f>'7_Scenarios'!$A$14:$A$17</c:f>
              <c:strCache>
                <c:ptCount val="0"/>
              </c:strCache>
            </c:strRef>
          </c:cat>
          <c:val>
            <c:numRef>
              <c:f>'7_Scenarios'!$D$14:$D$17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DAL Revenue and Operating Income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2023A</c:v>
          </c:tx>
          <c:marker>
            <c:symbol val="none"/>
          </c:marker>
          <c:cat>
            <c:strRef>
              <c:f>'2_Historical'!$A$4:$A$5</c:f>
              <c:strCache>
                <c:ptCount val="0"/>
              </c:strCache>
            </c:strRef>
          </c:cat>
          <c:val>
            <c:numRef>
              <c:f>'2_Historical'!$B$4:$B$5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2024A</c:v>
          </c:tx>
          <c:marker>
            <c:symbol val="none"/>
          </c:marker>
          <c:cat>
            <c:strRef>
              <c:f>'2_Historical'!$A$4:$A$5</c:f>
              <c:strCache>
                <c:ptCount val="0"/>
              </c:strCache>
            </c:strRef>
          </c:cat>
          <c:val>
            <c:numRef>
              <c:f>'2_Historical'!$C$4:$C$5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2025A</c:v>
          </c:tx>
          <c:marker>
            <c:symbol val="none"/>
          </c:marker>
          <c:cat>
            <c:strRef>
              <c:f>'2_Historical'!$A$4:$A$5</c:f>
              <c:strCache>
                <c:ptCount val="0"/>
              </c:strCache>
            </c:strRef>
          </c:cat>
          <c:val>
            <c:numRef>
              <c:f>'2_Historical'!$D$4:$D$5</c:f>
              <c:numCache>
                <c:formatCode>#,##0;[Red](#,##0);-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5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4fc7243aae473a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61237c813a44b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c1dfe963dc4f2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202604c2054f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b284f2616264acb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8" max="8" width="14" hidden="0" customWidth="1"/>
    <x:col min="9" max="9" width="14" hidden="0" customWidth="1"/>
    <x:col min="10" max="10" width="14" hidden="0" customWidth="1"/>
    <x:col min="7" max="7" width="42" hidden="0" customWidth="1"/>
  </x:cols>
  <x:sheetData>
    <x:row r="1">
      <x:c r="A1" s="73" t="str">
        <x:v>Delta Air Lines (DAL) Equity Research &amp; Valuation Model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>
      <x:c r="H2" s="23"/>
      <x:c r="I2" s="23"/>
      <x:c r="J2" s="23"/>
    </x:row>
    <x:row r="3">
      <x:c r="A3" s="81" t="str">
        <x:v>Research Snapshot</x:v>
      </x:c>
      <x:c r="B3" s="81"/>
      <x:c r="C3" s="81"/>
      <x:c r="D3" s="81"/>
      <x:c r="F3" s="81" t="str">
        <x:v>Key Forecasts</x:v>
      </x:c>
      <x:c r="G3" s="81"/>
      <x:c r="H3" s="81"/>
      <x:c r="I3" s="90"/>
      <x:c r="J3" s="90"/>
    </x:row>
    <x:row r="4">
      <x:c r="A4" s="82" t="str">
        <x:v>Company</x:v>
      </x:c>
      <x:c r="B4" s="14" t="str">
        <x:v>Delta Air Lines, Inc.</x:v>
      </x:c>
      <x:c r="F4" s="95" t="str">
        <x:v>Metric</x:v>
      </x:c>
      <x:c r="G4" s="95" t="str">
        <x:v>2025A</x:v>
      </x:c>
      <x:c r="H4" s="95" t="str">
        <x:v>2026E</x:v>
      </x:c>
      <x:c r="I4" s="96" t="str">
        <x:v>2027E</x:v>
      </x:c>
      <x:c r="J4" s="96" t="str">
        <x:v>2028E</x:v>
      </x:c>
    </x:row>
    <x:row r="5">
      <x:c r="A5" s="82" t="str">
        <x:v>Ticker</x:v>
      </x:c>
      <x:c r="B5" s="14" t="str">
        <x:v>DAL</x:v>
      </x:c>
      <x:c r="F5" t="str">
        <x:v>Revenue ($mm)</x:v>
      </x:c>
      <x:c r="G5" s="50" t="n">
        <x:f>'4_Forecast'!B5</x:f>
        <x:v>63364</x:v>
      </x:c>
      <x:c r="H5" s="50" t="n">
        <x:f>'4_Forecast'!E5</x:f>
        <x:v>75000.6</x:v>
      </x:c>
      <x:c r="I5" s="50" t="n">
        <x:f>'4_Forecast'!F5</x:f>
        <x:v>78750.63</x:v>
      </x:c>
      <x:c r="J5" s="50" t="n">
        <x:f>'4_Forecast'!G5</x:f>
        <x:v>81900.65520000001</x:v>
      </x:c>
    </x:row>
    <x:row r="6">
      <x:c r="A6" s="82" t="str">
        <x:v>Model Date</x:v>
      </x:c>
      <x:c r="B6" s="14" t="str">
        <x:v>10/19/2026</x:v>
      </x:c>
      <x:c r="F6" t="str">
        <x:v>Operating Margin</x:v>
      </x:c>
      <x:c r="G6" s="52" t="n">
        <x:f>'4_Forecast'!B7</x:f>
        <x:v>0.09188182564232056</x:v>
      </x:c>
      <x:c r="H6" s="52" t="n">
        <x:f>'4_Forecast'!E7</x:f>
        <x:v>0.07140326877384981</x:v>
      </x:c>
      <x:c r="I6" s="52" t="n">
        <x:f>'4_Forecast'!F7</x:f>
        <x:v>0.09</x:v>
      </x:c>
      <x:c r="J6" s="52" t="n">
        <x:f>'4_Forecast'!G7</x:f>
        <x:v>0.1</x:v>
      </x:c>
    </x:row>
    <x:row r="7">
      <x:c r="A7" s="82" t="str">
        <x:v>Current Share Price</x:v>
      </x:c>
      <x:c r="B7" s="86" t="n">
        <x:v>74.63</x:v>
      </x:c>
      <x:c r="F7" t="str">
        <x:v>Diluted EPS ($)</x:v>
      </x:c>
      <x:c r="G7" s="86" t="n">
        <x:f>'4_Forecast'!B15</x:f>
        <x:v>4499</x:v>
      </x:c>
      <x:c r="H7" s="86" t="n">
        <x:f>'4_Forecast'!E15</x:f>
        <x:v>5200</x:v>
      </x:c>
      <x:c r="I7" s="86" t="n">
        <x:f>'4_Forecast'!F15</x:f>
        <x:v>5118.7909500000005</x:v>
      </x:c>
      <x:c r="J7" s="86" t="n">
        <x:f>'4_Forecast'!G15</x:f>
        <x:v>4914.039312</x:v>
      </x:c>
    </x:row>
    <x:row r="8">
      <x:c r="A8" s="82" t="str">
        <x:v>Base-Case Fair Value</x:v>
      </x:c>
      <x:c r="B8" s="86" t="n">
        <x:f>'5_Valuation'!B21</x:f>
        <x:v>52858.3774090909</x:v>
      </x:c>
      <x:c r="F8" t="str">
        <x:v>Free Cash Flow ($mm)</x:v>
      </x:c>
      <x:c r="G8" s="50" t="n">
        <x:f>'4_Forecast'!B17</x:f>
        <x:v>3843</x:v>
      </x:c>
      <x:c r="H8" s="50" t="n">
        <x:f>'4_Forecast'!E17</x:f>
        <x:v>2500</x:v>
      </x:c>
      <x:c r="I8" s="50" t="n">
        <x:f>'4_Forecast'!F17</x:f>
        <x:v>3543.77835</x:v>
      </x:c>
      <x:c r="J8" s="50" t="n">
        <x:f>'4_Forecast'!G17</x:f>
        <x:v>4095.0327600000005</x:v>
      </x:c>
    </x:row>
    <x:row r="9">
      <x:c r="A9" s="82" t="str">
        <x:v>Implied Upside / (Downside)</x:v>
      </x:c>
      <x:c r="B9" s="52" t="n">
        <x:f>B8/B7-1</x:f>
        <x:v>707.272509836405</x:v>
      </x:c>
      <x:c r="F9" t="str">
        <x:v>Revenue Growth</x:v>
      </x:c>
      <x:c r="G9" s="52" t="n">
        <x:f>'4_Forecast'!B6</x:f>
        <x:v>0</x:v>
      </x:c>
      <x:c r="H9" s="52" t="n">
        <x:f>'4_Forecast'!E6</x:f>
        <x:v>0.1836468657281738</x:v>
      </x:c>
      <x:c r="I9" s="52" t="n">
        <x:f>'4_Forecast'!F6</x:f>
        <x:v>0.050000000000000044</x:v>
      </x:c>
      <x:c r="J9" s="52" t="n">
        <x:f>'4_Forecast'!G6</x:f>
        <x:v>0.040000000000000036</x:v>
      </x:c>
    </x:row>
    <x:row r="10">
      <x:c r="A10" s="84" t="str">
        <x:v>Illustrative View</x:v>
      </x:c>
      <x:c r="B10" s="85" t="str">
        <x:v>HOLD / NEUTRAL</x:v>
      </x:c>
      <x:c r="C10" s="18"/>
      <x:c r="D10" s="18"/>
      <x:c r="E10" s="18"/>
      <x:c r="F10" s="18"/>
    </x:row>
    <x:row r="11">
      <x:c r="A11" s="23"/>
      <x:c r="B11" s="23"/>
      <x:c r="C11" s="23"/>
      <x:c r="D11" s="23"/>
      <x:c r="E11" s="23"/>
      <x:c r="F11" s="23"/>
    </x:row>
    <x:row r="12">
      <x:c r="A12" s="81" t="str">
        <x:v>Investment Debate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2" t="str">
        <x:v>Bull Case</x:v>
      </x:c>
      <x:c r="B13" s="46" t="str">
        <x:v>Strong premium/loyalty demand and broad pricing strength support revenue growth.</x:v>
      </x:c>
      <x:c r="C13" t="str"/>
      <x:c r="D13" t="str"/>
      <x:c r="E13" t="str"/>
      <x:c r="F13" s="82" t="str">
        <x:v>Bear Case</x:v>
      </x:c>
      <x:c r="G13" s="46" t="str">
        <x:v>Fuel and non-fuel unit-cost inflation pressure near-term margins.</x:v>
      </x:c>
      <x:c r="H13" t="str"/>
      <x:c r="I13" t="str"/>
      <x:c r="J13" t="str"/>
    </x:row>
    <x:row r="14">
      <x:c r="A14" s="82" t="str">
        <x:v>Catalyst</x:v>
      </x:c>
      <x:c r="B14" s="46" t="str">
        <x:v>Q4 revenue growth guidance of ~20% with capacity growth below 2%.</x:v>
      </x:c>
      <x:c r="C14" t="str"/>
      <x:c r="D14" t="str"/>
      <x:c r="E14" t="str"/>
      <x:c r="F14" s="82" t="str">
        <x:v>Risk</x:v>
      </x:c>
      <x:c r="G14" s="46" t="str">
        <x:v>Q4 all-in fuel price guidance of ~$4.25/gal remains a major earnings headwind.</x:v>
      </x:c>
      <x:c r="H14" t="str"/>
      <x:c r="I14" t="str"/>
      <x:c r="J14" t="str"/>
    </x:row>
    <x:row r="15">
      <x:c r="A15" s="82" t="str">
        <x:v>Catalyst</x:v>
      </x:c>
      <x:c r="B15" s="46" t="str">
        <x:v>Premium revenue, cargo, loyalty and MRO are growing faster than core main cabin.</x:v>
      </x:c>
      <x:c r="C15" t="str"/>
      <x:c r="D15" t="str"/>
      <x:c r="E15" t="str"/>
      <x:c r="F15" s="82" t="str">
        <x:v>Risk</x:v>
      </x:c>
      <x:c r="G15" s="46" t="str">
        <x:v>Main cabin and industry capacity/pricing can remain cyclical.</x:v>
      </x:c>
      <x:c r="H15" t="str"/>
      <x:c r="I15" t="str"/>
      <x:c r="J15" t="str"/>
    </x:row>
    <x:row r="16">
      <x:c r="A16" s="82" t="str">
        <x:v>Catalyst</x:v>
      </x:c>
      <x:c r="B16" s="46" t="str">
        <x:v>Debt paydown and investment-grade balance-sheet focus improve financial flexibility.</x:v>
      </x:c>
      <x:c r="C16" t="str"/>
      <x:c r="D16" t="str"/>
      <x:c r="E16" t="str"/>
      <x:c r="F16" s="82" t="str">
        <x:v>Risk</x:v>
      </x:c>
      <x:c r="G16" s="46" t="str">
        <x:v>High operating leverage magnifies demand/fuel/cost shocks.</x:v>
      </x:c>
      <x:c r="H16" t="str"/>
      <x:c r="I16" t="str"/>
      <x:c r="J16" t="str"/>
    </x:row>
    <x:row r="17">
      <x:c r="A17" s="82" t="str">
        <x:v>Valuation</x:v>
      </x:c>
      <x:c r="B17" s="46" t="str">
        <x:v>Base-case FCFE DCF implies modest upside versus current price.</x:v>
      </x:c>
      <x:c r="C17" t="str"/>
      <x:c r="D17" t="str"/>
      <x:c r="E17" t="str"/>
      <x:c r="F17" s="82" t="str">
        <x:v>Conclusion</x:v>
      </x:c>
      <x:c r="G17" s="46" t="str">
        <x:v>Risk/reward is balanced at current price; maintain HOLD/NEUTRAL.</x:v>
      </x:c>
      <x:c r="H17" t="str"/>
      <x:c r="I17" t="str"/>
      <x:c r="J17" t="str"/>
    </x:row>
    <x:row r="18">
      <x:c r="A18" s="82" t="str">
        <x:v>Use</x:v>
      </x:c>
      <x:c r="B18" s="46" t="str">
        <x:v>Illustrative research project for education / portfolio demonstration, not investment advice.</x:v>
      </x:c>
      <x:c r="C18" t="str"/>
      <x:c r="D18" t="str"/>
      <x:c r="E18" t="str"/>
      <x:c r="F18" t="str"/>
      <x:c r="G18" t="str"/>
      <x:c r="H18" t="str"/>
      <x:c r="I18" t="str"/>
      <x:c r="J18" t="str"/>
    </x:row>
  </x:sheetData>
  <x:mergeCells>
    <x:mergeCell ref="A1:F1"/>
    <x:mergeCell ref="A10:F10"/>
    <x:mergeCell ref="A1:J1"/>
    <x:mergeCell ref="A3:D3"/>
    <x:mergeCell ref="F3:J3"/>
    <x:mergeCell ref="A12:J12"/>
  </x:mergeCells>
  <x:pageMargins left="0.7" right="0.7" top="0.75" bottom="0.75" header="0.3" footer="0.3"/>
  <x:drawing xmlns:r="http://schemas.openxmlformats.org/officeDocument/2006/relationships" r:id="R77202604c2054f28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</x:cols>
  <x:sheetData>
    <x:row r="1">
      <x:c r="A1" s="18" t="str">
        <x:v>Historical Financials ($mm except EPS and margins)</x:v>
      </x:c>
      <x:c r="B1" s="18"/>
      <x:c r="C1" s="18"/>
      <x:c r="D1" s="18"/>
    </x:row>
    <x:row r="3">
      <x:c r="A3" s="56" t="str">
        <x:v>Metric</x:v>
      </x:c>
      <x:c r="B3" s="122" t="str">
        <x:v>2023A</x:v>
      </x:c>
      <x:c r="C3" s="122" t="str">
        <x:v>2024A</x:v>
      </x:c>
      <x:c r="D3" s="122" t="str">
        <x:v>2025A</x:v>
      </x:c>
      <x:c r="E3" s="100" t="str">
        <x:v>Primary Source</x:v>
      </x:c>
    </x:row>
    <x:row r="4">
      <x:c r="A4" s="46" t="str">
        <x:v>Revenue</x:v>
      </x:c>
      <x:c r="B4" s="123" t="n">
        <x:v>58048</x:v>
      </x:c>
      <x:c r="C4" s="123" t="n">
        <x:v>61643</x:v>
      </x:c>
      <x:c r="D4" s="123" t="n">
        <x:v>63364</x:v>
      </x:c>
      <x:c r="E4" s="101" t="str">
        <x:v>2025 10-K</x:v>
      </x:c>
    </x:row>
    <x:row r="5">
      <x:c r="A5" s="46" t="str">
        <x:v>Operating Income</x:v>
      </x:c>
      <x:c r="B5" s="123" t="n">
        <x:v>5521</x:v>
      </x:c>
      <x:c r="C5" s="123" t="n">
        <x:v>5995</x:v>
      </x:c>
      <x:c r="D5" s="123" t="n">
        <x:v>5822</x:v>
      </x:c>
      <x:c r="E5" s="101" t="str">
        <x:v>2025 10-K</x:v>
      </x:c>
    </x:row>
    <x:row r="6">
      <x:c r="A6" s="58" t="str">
        <x:v>Operating Margin</x:v>
      </x:c>
      <x:c r="B6" s="124" t="n">
        <x:f>B5/B4</x:f>
        <x:v>0.09511094266813672</x:v>
      </x:c>
      <x:c r="C6" s="124" t="n">
        <x:f>C5/C4</x:f>
        <x:v>0.0972535405479941</x:v>
      </x:c>
      <x:c r="D6" s="124" t="n">
        <x:f>D5/D4</x:f>
        <x:v>0.09188182564232056</x:v>
      </x:c>
      <x:c r="E6" s="101" t="str">
        <x:v>Formula</x:v>
      </x:c>
    </x:row>
    <x:row r="7">
      <x:c r="A7" s="46" t="str">
        <x:v>Net Income</x:v>
      </x:c>
      <x:c r="B7" s="123" t="n">
        <x:v>4609</x:v>
      </x:c>
      <x:c r="C7" s="123" t="n">
        <x:v>3457</x:v>
      </x:c>
      <x:c r="D7" s="123" t="n">
        <x:v>5005</x:v>
      </x:c>
      <x:c r="E7" s="101" t="str">
        <x:v>2025 10-K</x:v>
      </x:c>
    </x:row>
    <x:row r="8">
      <x:c r="A8" s="46" t="str">
        <x:v>Diluted EPS</x:v>
      </x:c>
      <x:c r="B8" s="125" t="n">
        <x:v>7.17</x:v>
      </x:c>
      <x:c r="C8" s="125" t="n">
        <x:v>5.33</x:v>
      </x:c>
      <x:c r="D8" s="125" t="n">
        <x:v>7.66</x:v>
      </x:c>
      <x:c r="E8" s="101" t="str">
        <x:v>2025 10-K</x:v>
      </x:c>
    </x:row>
    <x:row r="9">
      <x:c r="A9" s="46" t="str">
        <x:v>Operating Cash Flow</x:v>
      </x:c>
      <x:c r="B9" s="123" t="n">
        <x:v>6464</x:v>
      </x:c>
      <x:c r="C9" s="123" t="n">
        <x:v>8025</x:v>
      </x:c>
      <x:c r="D9" s="123" t="n">
        <x:v>8342</x:v>
      </x:c>
      <x:c r="E9" s="101" t="str">
        <x:v>2025 10-K</x:v>
      </x:c>
    </x:row>
    <x:row r="10">
      <x:c r="A10" s="46" t="str">
        <x:v>CapEx</x:v>
      </x:c>
      <x:c r="B10" s="123" t="n">
        <x:v>5323</x:v>
      </x:c>
      <x:c r="C10" s="123" t="n">
        <x:v>5140</x:v>
      </x:c>
      <x:c r="D10" s="123" t="n">
        <x:v>4499</x:v>
      </x:c>
      <x:c r="E10" s="101" t="str">
        <x:v>2025 10-K</x:v>
      </x:c>
    </x:row>
    <x:row r="11">
      <x:c r="A11" s="58" t="str">
        <x:v>Free Cash Flow</x:v>
      </x:c>
      <x:c r="B11" s="126" t="n">
        <x:f>B9-B10</x:f>
        <x:v>1141</x:v>
      </x:c>
      <x:c r="C11" s="126" t="n">
        <x:f>C9-C10</x:f>
        <x:v>2885</x:v>
      </x:c>
      <x:c r="D11" s="126" t="n">
        <x:f>D9-D10</x:f>
        <x:v>3843</x:v>
      </x:c>
      <x:c r="E11" s="101" t="str">
        <x:v>Formula: OCF - CapEx</x:v>
      </x:c>
    </x:row>
    <x:row r="12">
      <x:c r="A12" s="46" t="str">
        <x:v>Cash &amp; Cash Equivalents</x:v>
      </x:c>
      <x:c r="B12" s="123" t="n">
        <x:v>2741</x:v>
      </x:c>
      <x:c r="C12" s="123" t="n">
        <x:v>3069</x:v>
      </x:c>
      <x:c r="D12" s="123" t="n">
        <x:v>4310</x:v>
      </x:c>
      <x:c r="E12" s="101" t="str">
        <x:v>2025 10-K</x:v>
      </x:c>
    </x:row>
    <x:row r="13">
      <x:c r="A13" s="46"/>
      <x:c r="B13" s="46"/>
      <x:c r="C13" s="46"/>
      <x:c r="D13" s="46"/>
      <x:c r="E13" s="46"/>
    </x:row>
    <x:row r="14">
      <x:c r="A14" s="46"/>
      <x:c r="B14" s="46"/>
      <x:c r="C14" s="46"/>
      <x:c r="D14" s="46"/>
      <x:c r="E14" s="46"/>
    </x:row>
    <x:row r="15">
      <x:c r="A15" s="46"/>
      <x:c r="B15" s="46"/>
      <x:c r="C15" s="46"/>
      <x:c r="D15" s="46"/>
      <x:c r="E15" s="46"/>
    </x:row>
    <x:row r="16">
      <x:c r="A16" s="46"/>
      <x:c r="B16" s="46"/>
      <x:c r="C16" s="46"/>
      <x:c r="D16" s="46"/>
      <x:c r="E16" s="46"/>
    </x:row>
    <x:row r="17">
      <x:c r="A17" s="46"/>
      <x:c r="B17" s="46"/>
      <x:c r="C17" s="46"/>
      <x:c r="D17" s="46"/>
      <x:c r="E17" s="46"/>
    </x:row>
    <x:row r="18">
      <x:c r="A18" s="46"/>
      <x:c r="B18" s="46"/>
      <x:c r="C18" s="46"/>
      <x:c r="D18" s="46"/>
      <x:c r="E18" s="46"/>
    </x:row>
    <x:row r="19">
      <x:c r="A19" s="46"/>
      <x:c r="B19" s="46"/>
      <x:c r="C19" s="46"/>
      <x:c r="D19" s="46"/>
      <x:c r="E19" s="46"/>
    </x:row>
    <x:row r="20">
      <x:c r="A20" s="46"/>
      <x:c r="B20" s="46"/>
      <x:c r="C20" s="46"/>
      <x:c r="D20" s="46"/>
      <x:c r="E20" s="46"/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7b284f2616264acb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0" hidden="0" customWidth="1"/>
  </x:cols>
  <x:sheetData>
    <x:row r="1">
      <x:c r="A1" s="18" t="str">
        <x:v>Airline Operating Drivers</x:v>
      </x:c>
      <x:c r="B1" s="18"/>
      <x:c r="C1" s="18"/>
      <x:c r="D1" s="18"/>
      <x:c r="E1" s="18"/>
    </x:row>
    <x:row r="3">
      <x:c r="A3" s="56" t="str">
        <x:v>Metric</x:v>
      </x:c>
      <x:c r="B3" s="122" t="str">
        <x:v>2023A</x:v>
      </x:c>
      <x:c r="C3" s="122" t="str">
        <x:v>2024A</x:v>
      </x:c>
      <x:c r="D3" s="122" t="str">
        <x:v>2025A</x:v>
      </x:c>
      <x:c r="E3" s="122" t="str">
        <x:v>9M26A</x:v>
      </x:c>
      <x:c r="F3" s="95" t="str">
        <x:v>Primary Source</x:v>
      </x:c>
    </x:row>
    <x:row r="4">
      <x:c r="A4" s="46" t="str">
        <x:v>RPM (mm)</x:v>
      </x:c>
      <x:c r="B4" s="123" t="n">
        <x:v>232241</x:v>
      </x:c>
      <x:c r="C4" s="123" t="n">
        <x:v>246145</x:v>
      </x:c>
      <x:c r="D4" s="123" t="n">
        <x:v>249578</x:v>
      </x:c>
      <x:c r="E4" s="123" t="n">
        <x:v>191369</x:v>
      </x:c>
      <x:c r="F4" s="14" t="str">
        <x:v>2024/2025 10-K; Q3 2026 10-Q</x:v>
      </x:c>
    </x:row>
    <x:row r="5">
      <x:c r="A5" s="46" t="str">
        <x:v>ASM (mm)</x:v>
      </x:c>
      <x:c r="B5" s="123" t="n">
        <x:v>272033</x:v>
      </x:c>
      <x:c r="C5" s="123" t="n">
        <x:v>288394</x:v>
      </x:c>
      <x:c r="D5" s="123" t="n">
        <x:v>298045</x:v>
      </x:c>
      <x:c r="E5" s="123" t="n">
        <x:v>227145</x:v>
      </x:c>
      <x:c r="F5" s="14" t="str">
        <x:v>2024/2025 10-K; Q3 2026 10-Q</x:v>
      </x:c>
    </x:row>
    <x:row r="6">
      <x:c r="A6" s="46" t="str">
        <x:v>Load Factor</x:v>
      </x:c>
      <x:c r="B6" s="127" t="n">
        <x:v>0.85</x:v>
      </x:c>
      <x:c r="C6" s="127" t="n">
        <x:v>0.85</x:v>
      </x:c>
      <x:c r="D6" s="127" t="n">
        <x:v>0.84</x:v>
      </x:c>
      <x:c r="E6" s="127" t="n">
        <x:v>0.84</x:v>
      </x:c>
      <x:c r="F6" s="14" t="str">
        <x:v>2024/2025 10-K; Q3 2026 10-Q</x:v>
      </x:c>
    </x:row>
    <x:row r="7">
      <x:c r="A7" s="46" t="str">
        <x:v>Passenger Yield (¢)</x:v>
      </x:c>
      <x:c r="B7" s="125" t="n">
        <x:v>21.06</x:v>
      </x:c>
      <x:c r="C7" s="125" t="n">
        <x:v>20.68</x:v>
      </x:c>
      <x:c r="D7" s="125" t="n">
        <x:v>20.74</x:v>
      </x:c>
      <x:c r="E7" s="125" t="n">
        <x:v>22.7</x:v>
      </x:c>
      <x:c r="F7" s="14" t="str">
        <x:v>2024/2025 10-K; Q3 2026 10-Q</x:v>
      </x:c>
    </x:row>
    <x:row r="8">
      <x:c r="A8" s="46" t="str">
        <x:v>PRASM (¢)</x:v>
      </x:c>
      <x:c r="B8" s="125" t="n">
        <x:v>17.98</x:v>
      </x:c>
      <x:c r="C8" s="125" t="n">
        <x:v>17.65</x:v>
      </x:c>
      <x:c r="D8" s="125" t="n">
        <x:v>17.37</x:v>
      </x:c>
      <x:c r="E8" s="125" t="n">
        <x:v>19.13</x:v>
      </x:c>
      <x:c r="F8" s="14" t="str">
        <x:v>2024/2025 10-K; Q3 2026 10-Q</x:v>
      </x:c>
    </x:row>
    <x:row r="9">
      <x:c r="A9" s="46" t="str">
        <x:v>TRASM (¢)</x:v>
      </x:c>
      <x:c r="B9" s="125" t="n">
        <x:v>21.34</x:v>
      </x:c>
      <x:c r="C9" s="125" t="n">
        <x:v>21.37</x:v>
      </x:c>
      <x:c r="D9" s="125" t="n">
        <x:v>21.26</x:v>
      </x:c>
      <x:c r="E9" s="125" t="n">
        <x:v>24.56</x:v>
      </x:c>
      <x:c r="F9" s="14" t="str">
        <x:v>2024/2025 10-K; Q3 2026 10-Q</x:v>
      </x:c>
    </x:row>
    <x:row r="10">
      <x:c r="A10" s="46" t="str">
        <x:v>CASM (¢)</x:v>
      </x:c>
      <x:c r="B10" s="125" t="n">
        <x:v>19.31</x:v>
      </x:c>
      <x:c r="C10" s="125" t="n">
        <x:v>19.3</x:v>
      </x:c>
      <x:c r="D10" s="125" t="n">
        <x:v>19.31</x:v>
      </x:c>
      <x:c r="E10" s="125" t="n">
        <x:v>22.88</x:v>
      </x:c>
      <x:c r="F10" s="14" t="str">
        <x:v>2024/2025 10-K; Q3 2026 10-Q</x:v>
      </x:c>
    </x:row>
    <x:row r="11">
      <x:c r="A11" s="46" t="str">
        <x:v>CASM-Ex (¢)</x:v>
      </x:c>
      <x:c r="B11" s="125" t="n">
        <x:v>13.17</x:v>
      </x:c>
      <x:c r="C11" s="125" t="n">
        <x:v>13.54</x:v>
      </x:c>
      <x:c r="D11" s="125" t="n">
        <x:v>13.86</x:v>
      </x:c>
      <x:c r="E11" s="125" t="n">
        <x:v>14.39</x:v>
      </x:c>
      <x:c r="F11" s="14" t="str">
        <x:v>2024/2025 10-K; Q3 2026 10-Q</x:v>
      </x:c>
    </x:row>
    <x:row r="12">
      <x:c r="A12" s="46" t="str">
        <x:v>Fuel Gallons Consumed (mm)</x:v>
      </x:c>
      <x:c r="B12" s="123" t="n">
        <x:v>3926</x:v>
      </x:c>
      <x:c r="C12" s="123" t="n">
        <x:v>4114</x:v>
      </x:c>
      <x:c r="D12" s="123" t="n">
        <x:v>4269</x:v>
      </x:c>
      <x:c r="E12" s="123" t="n">
        <x:v>3256</x:v>
      </x:c>
      <x:c r="F12" s="14" t="str">
        <x:v>2024/2025 10-K; Q3 2026 10-Q</x:v>
      </x:c>
    </x:row>
    <x:row r="13">
      <x:c r="A13" s="46" t="str">
        <x:v>Average Fuel Price / Gallon ($)</x:v>
      </x:c>
      <x:c r="B13" s="128" t="n">
        <x:v>2.82</x:v>
      </x:c>
      <x:c r="C13" s="128" t="n">
        <x:v>2.57</x:v>
      </x:c>
      <x:c r="D13" s="128" t="n">
        <x:v>2.3</x:v>
      </x:c>
      <x:c r="E13" s="128" t="n">
        <x:v>3.44</x:v>
      </x:c>
      <x:c r="F13" s="14" t="str">
        <x:v>2024/2025 10-K; Q3 2026 10-Q</x:v>
      </x:c>
    </x:row>
    <x:row r="14">
      <x:c r="A14" s="46"/>
      <x:c r="B14" s="46"/>
      <x:c r="C14" s="46"/>
      <x:c r="D14" s="46"/>
      <x:c r="E14" s="46"/>
    </x:row>
    <x:row r="15">
      <x:c r="A15" s="46"/>
      <x:c r="B15" s="46"/>
      <x:c r="C15" s="46"/>
      <x:c r="D15" s="46"/>
      <x:c r="E15" s="46"/>
    </x:row>
    <x:row r="16">
      <x:c r="A16" s="46"/>
      <x:c r="B16" s="46"/>
      <x:c r="C16" s="46"/>
      <x:c r="D16" s="46"/>
      <x:c r="E16" s="46"/>
    </x:row>
    <x:row r="17">
      <x:c r="A17" s="46"/>
      <x:c r="B17" s="46"/>
      <x:c r="C17" s="46"/>
      <x:c r="D17" s="46"/>
      <x:c r="E17" s="46"/>
    </x:row>
    <x:row r="18">
      <x:c r="A18" s="46"/>
      <x:c r="B18" s="46"/>
      <x:c r="C18" s="46"/>
      <x:c r="D18" s="46"/>
      <x:c r="E18" s="46"/>
    </x:row>
    <x:row r="19">
      <x:c r="A19" s="46"/>
      <x:c r="B19" s="46"/>
      <x:c r="C19" s="46"/>
      <x:c r="D19" s="46"/>
      <x:c r="E19" s="46"/>
    </x:row>
    <x:row r="20">
      <x:c r="A20" s="46"/>
      <x:c r="B20" s="46"/>
      <x:c r="C20" s="46"/>
      <x:c r="D20" s="46"/>
      <x:c r="E20" s="46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81" t="str">
        <x:v>DAL Forecast: 2026E–2028E</x:v>
      </x:c>
      <x:c r="B1" s="81"/>
      <x:c r="C1" s="81"/>
      <x:c r="D1" s="81"/>
      <x:c r="E1" s="81"/>
      <x:c r="F1" s="81"/>
      <x:c r="G1" s="81"/>
    </x:row>
    <x:row r="3">
      <x:c r="A3" s="95" t="str">
        <x:v>Metric</x:v>
      </x:c>
      <x:c r="B3" s="129" t="str">
        <x:v>2025A</x:v>
      </x:c>
      <x:c r="C3" s="129" t="str">
        <x:v>9M26A</x:v>
      </x:c>
      <x:c r="D3" s="129" t="str">
        <x:v>Q4 2026E</x:v>
      </x:c>
      <x:c r="E3" s="129" t="str">
        <x:v>2026E</x:v>
      </x:c>
      <x:c r="F3" s="129" t="str">
        <x:v>2027E</x:v>
      </x:c>
      <x:c r="G3" s="129" t="str">
        <x:v>2028E</x:v>
      </x:c>
    </x:row>
    <x:row r="4">
      <x:c r="A4" s="11"/>
      <x:c r="B4" s="130"/>
      <x:c r="C4" s="131"/>
      <x:c r="D4" s="131"/>
      <x:c r="E4" s="131"/>
      <x:c r="F4" s="131"/>
      <x:c r="G4" s="131"/>
    </x:row>
    <x:row r="5">
      <x:c r="A5" s="11" t="str">
        <x:v>Revenue ($mm)</x:v>
      </x:c>
      <x:c r="B5" s="132" t="n">
        <x:v>63364</x:v>
      </x:c>
      <x:c r="C5" s="133" t="n">
        <x:v>55797</x:v>
      </x:c>
      <x:c r="D5" s="134" t="n">
        <x:f>(B5-47361)*(1+$B$23)</x:f>
        <x:v>19203.6</x:v>
      </x:c>
      <x:c r="E5" s="134" t="n">
        <x:f>C5+D5</x:f>
        <x:v>75000.6</x:v>
      </x:c>
      <x:c r="F5" s="134" t="n">
        <x:f>E5*(1+$B$31)</x:f>
        <x:v>78750.63</x:v>
      </x:c>
      <x:c r="G5" s="134" t="n">
        <x:f>F5*(1+$B$37)</x:f>
        <x:v>81900.65520000001</x:v>
      </x:c>
    </x:row>
    <x:row r="6">
      <x:c r="A6" t="str">
        <x:v>Revenue Growth</x:v>
      </x:c>
      <x:c r="B6" s="135"/>
      <x:c r="C6" s="135"/>
      <x:c r="D6" s="136" t="n">
        <x:f>D5/(B5-47361)-1</x:f>
        <x:v>0.19999999999999996</x:v>
      </x:c>
      <x:c r="E6" s="136" t="n">
        <x:f>E5/B5-1</x:f>
        <x:v>0.1836468657281738</x:v>
      </x:c>
      <x:c r="F6" s="136" t="n">
        <x:f>F5/E5-1</x:f>
        <x:v>0.050000000000000044</x:v>
      </x:c>
      <x:c r="G6" s="136" t="n">
        <x:f>G5/F5-1</x:f>
        <x:v>0.040000000000000036</x:v>
      </x:c>
    </x:row>
    <x:row r="7">
      <x:c r="A7" t="str">
        <x:v>Operating Margin</x:v>
      </x:c>
      <x:c r="B7" s="135" t="n">
        <x:v>0.09188182564232056</x:v>
      </x:c>
      <x:c r="C7" s="135" t="n">
        <x:v>0.06844454002903382</x:v>
      </x:c>
      <x:c r="D7" s="136" t="n">
        <x:f>$B$24</x:f>
        <x:v>0.08</x:v>
      </x:c>
      <x:c r="E7" s="136" t="n">
        <x:f>E8/E5</x:f>
        <x:v>0.07140326877384981</x:v>
      </x:c>
      <x:c r="F7" s="136" t="n">
        <x:f>$B$32</x:f>
        <x:v>0.09</x:v>
      </x:c>
      <x:c r="G7" s="136" t="n">
        <x:f>$B$38</x:f>
        <x:v>0.1</x:v>
      </x:c>
    </x:row>
    <x:row r="8">
      <x:c r="A8" t="str">
        <x:v>Operating Income ($mm)</x:v>
      </x:c>
      <x:c r="B8" s="133" t="n">
        <x:v>5822</x:v>
      </x:c>
      <x:c r="C8" s="133" t="n">
        <x:v>3819</x:v>
      </x:c>
      <x:c r="D8" s="134" t="n">
        <x:f>D5*D7</x:f>
        <x:v>1536.288</x:v>
      </x:c>
      <x:c r="E8" s="134" t="n">
        <x:f>C8+D8</x:f>
        <x:v>5355.2880000000005</x:v>
      </x:c>
      <x:c r="F8" s="134" t="n">
        <x:f>F5*F7</x:f>
        <x:v>7087.5567</x:v>
      </x:c>
      <x:c r="G8" s="134" t="n">
        <x:f>G5*G7</x:f>
        <x:v>8190.065520000001</x:v>
      </x:c>
    </x:row>
    <x:row r="9">
      <x:c r="A9" t="str">
        <x:v>Non-Operating Income / (Expense) ($mm)</x:v>
      </x:c>
      <x:c r="B9" s="133" t="n">
        <x:v>363</x:v>
      </x:c>
      <x:c r="C9" s="133" t="n">
        <x:v>-951</x:v>
      </x:c>
      <x:c r="D9" s="134" t="n">
        <x:f>E9-C9</x:f>
        <x:v>95.71199999999953</x:v>
      </x:c>
      <x:c r="E9" s="134" t="n">
        <x:f>$B$27-E8</x:f>
        <x:v>-855.2880000000005</x:v>
      </x:c>
      <x:c r="F9" s="134" t="n">
        <x:f>$B$33</x:f>
        <x:v>-700</x:v>
      </x:c>
      <x:c r="G9" s="134" t="n">
        <x:f>$B$39</x:f>
        <x:v>-600</x:v>
      </x:c>
    </x:row>
    <x:row r="10">
      <x:c r="A10" t="str">
        <x:v>Pre-Tax Income ($mm)</x:v>
      </x:c>
      <x:c r="B10" s="133" t="n">
        <x:v>6185</x:v>
      </x:c>
      <x:c r="C10" s="133" t="n">
        <x:v>2868</x:v>
      </x:c>
      <x:c r="D10" s="134" t="n">
        <x:f>D8+D9</x:f>
        <x:v>1631.9999999999995</x:v>
      </x:c>
      <x:c r="E10" s="134" t="n">
        <x:f>$B$27</x:f>
        <x:v>4500</x:v>
      </x:c>
      <x:c r="F10" s="134" t="n">
        <x:f>F8+F9</x:f>
        <x:v>6387.5567</x:v>
      </x:c>
      <x:c r="G10" s="134" t="n">
        <x:f>G8+G9</x:f>
        <x:v>7590.065520000001</x:v>
      </x:c>
    </x:row>
    <x:row r="11">
      <x:c r="A11" t="str">
        <x:v>Tax Rate</x:v>
      </x:c>
      <x:c r="B11" s="135" t="n">
        <x:v>0.19078415521422798</x:v>
      </x:c>
      <x:c r="C11" s="135" t="n">
        <x:v>0.27824267782426776</x:v>
      </x:c>
      <x:c r="D11" s="136" t="n">
        <x:f>$B$25</x:f>
        <x:v>0.25</x:v>
      </x:c>
      <x:c r="E11" s="136" t="n">
        <x:f>$B$25</x:f>
        <x:v>0.25</x:v>
      </x:c>
      <x:c r="F11" s="136" t="n">
        <x:f>$B$25</x:f>
        <x:v>0.25</x:v>
      </x:c>
      <x:c r="G11" s="136" t="n">
        <x:f>$B$25</x:f>
        <x:v>0.25</x:v>
      </x:c>
    </x:row>
    <x:row r="12">
      <x:c r="A12" t="str">
        <x:v>Net Income ($mm)</x:v>
      </x:c>
      <x:c r="B12" s="133" t="n">
        <x:v>5005</x:v>
      </x:c>
      <x:c r="C12" s="133" t="n">
        <x:v>2070</x:v>
      </x:c>
      <x:c r="D12" s="134" t="n">
        <x:f>D10*(1-D11)</x:f>
        <x:v>1223.9999999999995</x:v>
      </x:c>
      <x:c r="E12" s="134" t="n">
        <x:f>E10*(1-E11)</x:f>
        <x:v>3375</x:v>
      </x:c>
      <x:c r="F12" s="134" t="n">
        <x:f>F10*(1-F11)</x:f>
        <x:v>4790.667525</x:v>
      </x:c>
      <x:c r="G12" s="134" t="n">
        <x:f>G10*(1-G11)</x:f>
        <x:v>5692.549140000001</x:v>
      </x:c>
    </x:row>
    <x:row r="13">
      <x:c r="A13" t="str">
        <x:v>Diluted Shares (mm)</x:v>
      </x:c>
      <x:c r="B13" s="133" t="n">
        <x:v>653.3</x:v>
      </x:c>
      <x:c r="C13" s="133" t="n">
        <x:v>657.9</x:v>
      </x:c>
      <x:c r="D13" s="134" t="n">
        <x:f>$B$26</x:f>
        <x:v>657.912</x:v>
      </x:c>
      <x:c r="E13" s="134" t="n">
        <x:f>$B$26</x:f>
        <x:v>657.912</x:v>
      </x:c>
      <x:c r="F13" s="134" t="n">
        <x:f>$B$26</x:f>
        <x:v>657.912</x:v>
      </x:c>
      <x:c r="G13" s="134" t="n">
        <x:f>$B$26</x:f>
        <x:v>657.912</x:v>
      </x:c>
    </x:row>
    <x:row r="14">
      <x:c r="A14" t="str">
        <x:v>Diluted EPS ($)</x:v>
      </x:c>
      <x:c r="B14" s="137" t="n">
        <x:v>7.66</x:v>
      </x:c>
      <x:c r="C14" s="137" t="n">
        <x:v>3.15</x:v>
      </x:c>
      <x:c r="D14" s="138" t="n">
        <x:f>D12/D13</x:f>
        <x:v>1.860431182285776</x:v>
      </x:c>
      <x:c r="E14" s="138" t="n">
        <x:f>E12/E13</x:f>
        <x:v>5.129865392332105</x:v>
      </x:c>
      <x:c r="F14" s="138" t="n">
        <x:f>F12/F13</x:f>
        <x:v>7.28162356819757</x:v>
      </x:c>
      <x:c r="G14" s="138" t="n">
        <x:f>G12/G13</x:f>
        <x:v>8.652447652573597</x:v>
      </x:c>
    </x:row>
    <x:row r="15">
      <x:c r="A15" t="str">
        <x:v>CapEx ($mm)</x:v>
      </x:c>
      <x:c r="B15" s="133" t="n">
        <x:v>4499</x:v>
      </x:c>
      <x:c r="C15" s="133" t="n">
        <x:v>4071</x:v>
      </x:c>
      <x:c r="D15" s="134" t="n">
        <x:f>E15-C15</x:f>
        <x:v>1129</x:v>
      </x:c>
      <x:c r="E15" s="134" t="n">
        <x:f>$B$28</x:f>
        <x:v>5200</x:v>
      </x:c>
      <x:c r="F15" s="134" t="n">
        <x:f>F5*$B$34</x:f>
        <x:v>5118.7909500000005</x:v>
      </x:c>
      <x:c r="G15" s="134" t="n">
        <x:f>G5*$B$40</x:f>
        <x:v>4914.039312</x:v>
      </x:c>
    </x:row>
    <x:row r="16">
      <x:c r="A16" t="str">
        <x:v>Operating Cash Flow ($mm)</x:v>
      </x:c>
      <x:c r="B16" s="133" t="n">
        <x:v>8342</x:v>
      </x:c>
      <x:c r="C16" s="133" t="n">
        <x:v>5740</x:v>
      </x:c>
      <x:c r="D16" s="134" t="n">
        <x:f>E16-C16</x:f>
        <x:v>1960</x:v>
      </x:c>
      <x:c r="E16" s="134" t="n">
        <x:f>E17+E15</x:f>
        <x:v>7700</x:v>
      </x:c>
      <x:c r="F16" s="134" t="n">
        <x:f>F17+F15</x:f>
        <x:v>8662.569300000001</x:v>
      </x:c>
      <x:c r="G16" s="134" t="n">
        <x:f>G17+G15</x:f>
        <x:v>9009.072072</x:v>
      </x:c>
    </x:row>
    <x:row r="17">
      <x:c r="A17" t="str">
        <x:v>Free Cash Flow ($mm)</x:v>
      </x:c>
      <x:c r="B17" s="133" t="n">
        <x:v>3843</x:v>
      </x:c>
      <x:c r="C17" s="133" t="n">
        <x:v>1669</x:v>
      </x:c>
      <x:c r="D17" s="134" t="n">
        <x:f>E17-C17</x:f>
        <x:v>831</x:v>
      </x:c>
      <x:c r="E17" s="134" t="n">
        <x:f>$B$29</x:f>
        <x:v>2500</x:v>
      </x:c>
      <x:c r="F17" s="134" t="n">
        <x:f>F5*$B$35</x:f>
        <x:v>3543.77835</x:v>
      </x:c>
      <x:c r="G17" s="134" t="n">
        <x:f>G5*$B$41</x:f>
        <x:v>4095.0327600000005</x:v>
      </x:c>
    </x:row>
    <x:row r="20">
      <x:c r="A20" s="81" t="str">
        <x:v>2026 Guidance / Core Assumptions</x:v>
      </x:c>
      <x:c r="B20" s="81"/>
      <x:c r="C20" s="81"/>
    </x:row>
    <x:row r="22">
      <x:c r="A22" s="95" t="str">
        <x:v>Assumption</x:v>
      </x:c>
      <x:c r="B22" s="95" t="str">
        <x:v>Value</x:v>
      </x:c>
    </x:row>
    <x:row r="23">
      <x:c r="A23" t="str">
        <x:v>Q4 2026 Revenue Growth YoY</x:v>
      </x:c>
      <x:c r="B23" s="108" t="n">
        <x:v>0.2</x:v>
      </x:c>
    </x:row>
    <x:row r="24">
      <x:c r="A24" t="str">
        <x:v>Q4 2026 Operating Margin</x:v>
      </x:c>
      <x:c r="B24" s="108" t="n">
        <x:v>0.08</x:v>
      </x:c>
    </x:row>
    <x:row r="25">
      <x:c r="A25" t="str">
        <x:v>Tax Rate</x:v>
      </x:c>
      <x:c r="B25" s="108" t="n">
        <x:v>0.25</x:v>
      </x:c>
    </x:row>
    <x:row r="26">
      <x:c r="A26" t="str">
        <x:v>Diluted Shares (mm)</x:v>
      </x:c>
      <x:c r="B26" s="109" t="n">
        <x:v>657.912</x:v>
      </x:c>
    </x:row>
    <x:row r="27">
      <x:c r="A27" t="str">
        <x:v>FY 2026 Pre-Tax Income ($mm)</x:v>
      </x:c>
      <x:c r="B27" s="109" t="n">
        <x:v>4500</x:v>
      </x:c>
    </x:row>
    <x:row r="28">
      <x:c r="A28" t="str">
        <x:v>FY 2026 CapEx ($mm)</x:v>
      </x:c>
      <x:c r="B28" s="109" t="n">
        <x:v>5200</x:v>
      </x:c>
    </x:row>
    <x:row r="29">
      <x:c r="A29" t="str">
        <x:v>FY 2026 Free Cash Flow ($mm)</x:v>
      </x:c>
      <x:c r="B29" s="109" t="n">
        <x:v>2500</x:v>
      </x:c>
    </x:row>
    <x:row r="30">
      <x:c r="A30" s="81" t="str">
        <x:v>2027E Assumptions</x:v>
      </x:c>
      <x:c r="B30" s="81"/>
      <x:c r="C30" s="81"/>
    </x:row>
    <x:row r="31">
      <x:c r="A31" t="str">
        <x:v>Revenue Growth</x:v>
      </x:c>
      <x:c r="B31" s="108" t="n">
        <x:v>0.05</x:v>
      </x:c>
    </x:row>
    <x:row r="32">
      <x:c r="A32" t="str">
        <x:v>Operating Margin</x:v>
      </x:c>
      <x:c r="B32" s="108" t="n">
        <x:v>0.09</x:v>
      </x:c>
    </x:row>
    <x:row r="33">
      <x:c r="A33" t="str">
        <x:v>Non-Operating Income / (Expense) ($mm)</x:v>
      </x:c>
      <x:c r="B33" s="110" t="n">
        <x:v>-700</x:v>
      </x:c>
    </x:row>
    <x:row r="34">
      <x:c r="A34" t="str">
        <x:v>CapEx as % Revenue</x:v>
      </x:c>
      <x:c r="B34" s="108" t="n">
        <x:v>0.065</x:v>
      </x:c>
    </x:row>
    <x:row r="35">
      <x:c r="A35" t="str">
        <x:v>FCF Margin</x:v>
      </x:c>
      <x:c r="B35" s="108" t="n">
        <x:v>0.045</x:v>
      </x:c>
    </x:row>
    <x:row r="36">
      <x:c r="A36" s="81" t="str">
        <x:v>2028E Assumptions</x:v>
      </x:c>
      <x:c r="B36" s="81"/>
      <x:c r="C36" s="81"/>
    </x:row>
    <x:row r="37">
      <x:c r="A37" t="str">
        <x:v>Revenue Growth</x:v>
      </x:c>
      <x:c r="B37" s="108" t="n">
        <x:v>0.04</x:v>
      </x:c>
    </x:row>
    <x:row r="38">
      <x:c r="A38" t="str">
        <x:v>Operating Margin</x:v>
      </x:c>
      <x:c r="B38" s="108" t="n">
        <x:v>0.1</x:v>
      </x:c>
    </x:row>
    <x:row r="39">
      <x:c r="A39" t="str">
        <x:v>Non-Operating Income / (Expense) ($mm)</x:v>
      </x:c>
      <x:c r="B39" s="110" t="n">
        <x:v>-600</x:v>
      </x:c>
    </x:row>
    <x:row r="40">
      <x:c r="A40" t="str">
        <x:v>CapEx as % Revenue</x:v>
      </x:c>
      <x:c r="B40" s="108" t="n">
        <x:v>0.06</x:v>
      </x:c>
    </x:row>
    <x:row r="41">
      <x:c r="A41" t="str">
        <x:v>FCF Margin</x:v>
      </x:c>
      <x:c r="B41" s="108" t="n">
        <x:v>0.05</x:v>
      </x:c>
    </x:row>
  </x:sheetData>
  <x:mergeCells>
    <x:mergeCell ref="A1:F1"/>
    <x:mergeCell ref="A1:G1"/>
    <x:mergeCell ref="A20:C20"/>
    <x:mergeCell ref="A30:C30"/>
    <x:mergeCell ref="A36:C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1" t="str">
        <x:v>FCFE DCF Valuation</x:v>
      </x:c>
      <x:c r="B1" s="81"/>
      <x:c r="C1" s="81"/>
      <x:c r="D1" s="81"/>
      <x:c r="E1" s="81"/>
      <x:c r="F1" s="81"/>
    </x:row>
    <x:row r="3">
      <x:c r="A3" s="95" t="str">
        <x:v>Valuation Input</x:v>
      </x:c>
      <x:c r="B3" s="129" t="str">
        <x:v>Value</x:v>
      </x:c>
      <x:c r="C3" s="131"/>
      <x:c r="D3" s="131"/>
      <x:c r="E3" s="131"/>
      <x:c r="F3"/>
    </x:row>
    <x:row r="4">
      <x:c r="A4" s="11" t="str">
        <x:v>Current Share Price</x:v>
      </x:c>
      <x:c r="B4" s="139" t="n">
        <x:v>74.63</x:v>
      </x:c>
      <x:c r="C4" s="131"/>
      <x:c r="D4" s="131"/>
      <x:c r="E4" s="131"/>
      <x:c r="F4"/>
    </x:row>
    <x:row r="5">
      <x:c r="A5" s="11" t="str">
        <x:v>Diluted Shares Outstanding (mm)</x:v>
      </x:c>
      <x:c r="B5" s="140" t="n">
        <x:v>657.912</x:v>
      </x:c>
      <x:c r="C5" s="131"/>
      <x:c r="D5" s="131"/>
      <x:c r="E5" s="131"/>
      <x:c r="F5"/>
    </x:row>
    <x:row r="6">
      <x:c r="A6" t="str">
        <x:v>Cost of Equity</x:v>
      </x:c>
      <x:c r="B6" s="141" t="n">
        <x:v>0.1</x:v>
      </x:c>
      <x:c r="C6" s="131"/>
      <x:c r="D6" s="131"/>
      <x:c r="E6" s="131"/>
    </x:row>
    <x:row r="7">
      <x:c r="A7" t="str">
        <x:v>Terminal Growth Rate</x:v>
      </x:c>
      <x:c r="B7" s="141" t="n">
        <x:v>0.025</x:v>
      </x:c>
      <x:c r="C7" s="131"/>
      <x:c r="D7" s="131"/>
      <x:c r="E7" s="131"/>
    </x:row>
    <x:row r="8">
      <x:c r="A8" t="str">
        <x:v>Model Date</x:v>
      </x:c>
      <x:c r="B8" s="131" t="str">
        <x:v>10/19/2026</x:v>
      </x:c>
      <x:c r="C8" s="131"/>
      <x:c r="D8" s="131"/>
      <x:c r="E8" s="131"/>
    </x:row>
    <x:row r="9">
      <x:c r="A9" t="str">
        <x:v>Method</x:v>
      </x:c>
      <x:c r="B9" s="131" t="str">
        <x:v>FCFE DCF</x:v>
      </x:c>
      <x:c r="C9" s="131"/>
      <x:c r="D9" s="131"/>
      <x:c r="E9" s="131"/>
    </x:row>
    <x:row r="10">
      <x:c r="B10" s="131"/>
      <x:c r="C10" s="131"/>
      <x:c r="D10" s="131"/>
      <x:c r="E10" s="131"/>
    </x:row>
    <x:row r="11">
      <x:c r="A11" s="95" t="str">
        <x:v>FCFE DCF</x:v>
      </x:c>
      <x:c r="B11" s="129" t="str">
        <x:v>2027E</x:v>
      </x:c>
      <x:c r="C11" s="129" t="str">
        <x:v>2028E</x:v>
      </x:c>
      <x:c r="D11" s="129" t="str">
        <x:v>Terminal Value</x:v>
      </x:c>
      <x:c r="E11" s="131"/>
    </x:row>
    <x:row r="12">
      <x:c r="A12" t="str">
        <x:v>Revenue ($mm)</x:v>
      </x:c>
      <x:c r="B12" s="142" t="n">
        <x:f>'4_Forecast'!F5</x:f>
        <x:v>78750.63</x:v>
      </x:c>
      <x:c r="C12" s="142" t="n">
        <x:f>'4_Forecast'!G5</x:f>
        <x:v>81900.65520000001</x:v>
      </x:c>
      <x:c r="D12" s="142"/>
      <x:c r="E12" s="131"/>
    </x:row>
    <x:row r="13">
      <x:c r="A13" t="str">
        <x:v>FCFE / FCF ($mm)</x:v>
      </x:c>
      <x:c r="B13" s="142" t="n">
        <x:f>'4_Forecast'!F17</x:f>
        <x:v>3543.77835</x:v>
      </x:c>
      <x:c r="C13" s="142" t="n">
        <x:f>'4_Forecast'!G17</x:f>
        <x:v>4095.0327600000005</x:v>
      </x:c>
      <x:c r="D13" s="142"/>
      <x:c r="E13" s="131"/>
    </x:row>
    <x:row r="14">
      <x:c r="A14" t="str">
        <x:v>Discount Factor</x:v>
      </x:c>
      <x:c r="B14" s="143" t="n">
        <x:f>1/(1+$B$6)</x:f>
        <x:v>0.9090909090909091</x:v>
      </x:c>
      <x:c r="C14" s="143" t="n">
        <x:f>1/(1+$B$6)^2</x:f>
        <x:v>0.8264462809917354</x:v>
      </x:c>
      <x:c r="D14" s="142"/>
      <x:c r="E14" s="131"/>
    </x:row>
    <x:row r="15">
      <x:c r="A15" t="str">
        <x:v>PV of FCFE ($mm)</x:v>
      </x:c>
      <x:c r="B15" s="142" t="n">
        <x:f>B13*B14</x:f>
        <x:v>3221.616681818182</x:v>
      </x:c>
      <x:c r="C15" s="142" t="n">
        <x:f>C13*C14</x:f>
        <x:v>3384.3245950413225</x:v>
      </x:c>
      <x:c r="D15" s="142"/>
      <x:c r="E15" s="131"/>
    </x:row>
    <x:row r="16">
      <x:c r="A16" t="str">
        <x:v>Terminal Value ($mm)</x:v>
      </x:c>
      <x:c r="B16" s="142"/>
      <x:c r="C16" s="142" t="n">
        <x:f>C13*(1+$B$7)/($B$6-$B$7)</x:f>
        <x:v>55965.44771999999</x:v>
      </x:c>
      <x:c r="D16" s="142" t="n">
        <x:f>C16*C14</x:f>
        <x:v>46252.43613223139</x:v>
      </x:c>
      <x:c r="E16" s="131"/>
    </x:row>
    <x:row r="17">
      <x:c r="B17" s="131"/>
      <x:c r="C17" s="131"/>
      <x:c r="D17" s="131"/>
      <x:c r="E17" s="131"/>
    </x:row>
    <x:row r="18">
      <x:c r="A18" s="95" t="str">
        <x:v>Valuation Summary</x:v>
      </x:c>
      <x:c r="B18" s="129" t="str">
        <x:v>Value</x:v>
      </x:c>
      <x:c r="C18" s="131"/>
      <x:c r="D18" s="129" t="str">
        <x:v>Market Cross-Check</x:v>
      </x:c>
      <x:c r="E18" s="129" t="str">
        <x:v>Value</x:v>
      </x:c>
    </x:row>
    <x:row r="19">
      <x:c r="A19" t="str">
        <x:v>PV of Explicit FCFE ($mm)</x:v>
      </x:c>
      <x:c r="B19" s="134" t="n">
        <x:f>SUM(B15:C15)</x:f>
        <x:v>6605.941276859505</x:v>
      </x:c>
      <x:c r="C19" s="131"/>
      <x:c r="D19" s="131" t="str">
        <x:v>Current Price</x:v>
      </x:c>
      <x:c r="E19" s="144" t="n">
        <x:v>74.63</x:v>
      </x:c>
    </x:row>
    <x:row r="20">
      <x:c r="A20" t="str">
        <x:v>PV of Terminal Value ($mm)</x:v>
      </x:c>
      <x:c r="B20" s="134" t="n">
        <x:f>D16</x:f>
        <x:v>46252.43613223139</x:v>
      </x:c>
      <x:c r="C20" s="131"/>
      <x:c r="D20" s="131" t="str">
        <x:v>DAL TTM P/E</x:v>
      </x:c>
      <x:c r="E20" s="145" t="n">
        <x:v>14.9</x:v>
      </x:c>
    </x:row>
    <x:row r="21">
      <x:c r="A21" t="str">
        <x:v>Implied Equity Value ($mm)</x:v>
      </x:c>
      <x:c r="B21" s="134" t="n">
        <x:f>SUM(B19:B20)</x:f>
        <x:v>52858.3774090909</x:v>
      </x:c>
      <x:c r="C21" s="131"/>
      <x:c r="D21" s="131" t="str">
        <x:v>DAL Forward P/E</x:v>
      </x:c>
      <x:c r="E21" s="145" t="n">
        <x:v>9.18</x:v>
      </x:c>
    </x:row>
    <x:row r="22">
      <x:c r="A22" t="str">
        <x:v>Implied Value / Share</x:v>
      </x:c>
      <x:c r="B22" s="138" t="n">
        <x:f>B21/$B$5</x:f>
        <x:v>80.34262547132579</x:v>
      </x:c>
      <x:c r="C22" s="131"/>
      <x:c r="D22" s="131" t="str">
        <x:v>UAL TTM P/E</x:v>
      </x:c>
      <x:c r="E22" s="145" t="n">
        <x:v>8.95</x:v>
      </x:c>
    </x:row>
    <x:row r="23">
      <x:c r="B23" s="131"/>
      <x:c r="C23" s="131"/>
      <x:c r="D23" s="131" t="str">
        <x:v>UAL Forward P/E</x:v>
      </x:c>
      <x:c r="E23" s="145" t="n">
        <x:v>7.39</x:v>
      </x:c>
    </x:row>
    <x:row r="24">
      <x:c r="B24" s="131"/>
      <x:c r="C24" s="131"/>
      <x:c r="D24" s="131" t="str">
        <x:v>Yahoo Avg. Analyst Target</x:v>
      </x:c>
      <x:c r="E24" s="144" t="n">
        <x:v>101.07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</x:cols>
  <x:sheetData>
    <x:row r="1">
      <x:c r="A1" s="81" t="str">
        <x:v>Airline Peer Snapshot (10/19/2026)</x:v>
      </x:c>
      <x:c r="B1" s="81"/>
      <x:c r="C1" s="81"/>
      <x:c r="D1" s="81"/>
      <x:c r="E1" s="81"/>
      <x:c r="F1" s="81"/>
      <x:c r="G1" s="81"/>
    </x:row>
    <x:row r="3">
      <x:c r="A3" s="95" t="str">
        <x:v>Company</x:v>
      </x:c>
      <x:c r="B3" s="95" t="str">
        <x:v>Ticker</x:v>
      </x:c>
      <x:c r="C3" s="95" t="str">
        <x:v>Price ($)</x:v>
      </x:c>
      <x:c r="D3" s="95" t="str">
        <x:v>TTM P/E</x:v>
      </x:c>
      <x:c r="E3" s="95" t="str">
        <x:v>Forward P/E</x:v>
      </x:c>
      <x:c r="F3" s="95" t="str">
        <x:v>1Y Target ($)</x:v>
      </x:c>
      <x:c r="G3" s="95" t="str">
        <x:v>Source</x:v>
      </x:c>
    </x:row>
    <x:row r="4">
      <x:c r="A4" s="11" t="str">
        <x:v>Delta Air Lines</x:v>
      </x:c>
      <x:c r="B4" s="44" t="str">
        <x:v>DAL</x:v>
      </x:c>
      <x:c r="C4" s="42" t="n">
        <x:v>74.63</x:v>
      </x:c>
      <x:c r="D4" s="114" t="n">
        <x:v>14.9</x:v>
      </x:c>
      <x:c r="E4" s="114" t="n">
        <x:v>9.18</x:v>
      </x:c>
      <x:c r="F4" s="113" t="n">
        <x:v>101.07</x:v>
      </x:c>
      <x:c r="G4" t="str">
        <x:v>Yahoo Finance</x:v>
      </x:c>
    </x:row>
    <x:row r="5">
      <x:c r="A5" s="11" t="str">
        <x:v>United Airlines</x:v>
      </x:c>
      <x:c r="B5" s="44" t="str">
        <x:v>UAL</x:v>
      </x:c>
      <x:c r="C5" s="42" t="n">
        <x:v>95.6</x:v>
      </x:c>
      <x:c r="D5" s="114" t="n">
        <x:v>8.95</x:v>
      </x:c>
      <x:c r="E5" s="114" t="n">
        <x:v>7.39</x:v>
      </x:c>
      <x:c r="F5" s="113" t="n">
        <x:v>152.48</x:v>
      </x:c>
      <x:c r="G5" t="str">
        <x:v>Yahoo Finance</x:v>
      </x:c>
    </x:row>
    <x:row r="6">
      <x:c r="A6" t="str">
        <x:v>American Airlines</x:v>
      </x:c>
      <x:c r="B6" t="str">
        <x:v>AAL</x:v>
      </x:c>
      <x:c r="C6" s="42" t="n">
        <x:v>11.68</x:v>
      </x:c>
      <x:c r="D6" s="114"/>
      <x:c r="E6" s="114"/>
      <x:c r="F6" s="113"/>
      <x:c r="G6" t="str">
        <x:v>Yahoo Finance price only</x:v>
      </x:c>
    </x:row>
    <x:row r="8">
      <x:c r="A8" s="81" t="str">
        <x:v>Interpretation</x:v>
      </x:c>
      <x:c r="B8" s="81" t="str"/>
      <x:c r="C8" s="81" t="str"/>
      <x:c r="D8" s="81" t="str"/>
      <x:c r="E8" s="81" t="str"/>
      <x:c r="F8" s="81" t="str"/>
      <x:c r="G8" s="81" t="str"/>
    </x:row>
    <x:row r="9">
      <x:c r="A9" s="82" t="str">
        <x:v>DAL vs UAL</x:v>
      </x:c>
      <x:c r="B9" s="46" t="str">
        <x:v>DAL trades at a premium on TTM and forward P/E, consistent with stronger brand / premium mix but also leaving less valuation cushion.</x:v>
      </x:c>
      <x:c r="C9" s="46" t="str"/>
      <x:c r="D9" s="46" t="str"/>
      <x:c r="E9" s="46" t="str"/>
      <x:c r="F9" s="46" t="str"/>
      <x:c r="G9" s="46" t="str"/>
    </x:row>
    <x:row r="10">
      <x:c r="A10" s="82" t="str">
        <x:v>Use in Model</x:v>
      </x:c>
      <x:c r="B10" s="46" t="str">
        <x:v>Peer multiples are used as a reasonableness check only; primary target price is the FCFE DCF.</x:v>
      </x:c>
      <x:c r="C10" s="46" t="str"/>
      <x:c r="D10" s="46" t="str"/>
      <x:c r="E10" s="46" t="str"/>
      <x:c r="F10" s="46" t="str"/>
      <x:c r="G10" s="46" t="str"/>
    </x:row>
  </x:sheetData>
  <x:mergeCells>
    <x:mergeCell ref="A1:F1"/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81" t="str">
        <x:v>Bull / Base / Bear Valuation Scenarios</x:v>
      </x:c>
      <x:c r="B1" s="81"/>
      <x:c r="C1" s="81"/>
      <x:c r="D1" s="81"/>
      <x:c r="E1" s="81"/>
      <x:c r="F1" s="81"/>
      <x:c r="G1" s="81"/>
    </x:row>
    <x:row r="3">
      <x:c r="A3" s="95" t="str">
        <x:v>Assumption</x:v>
      </x:c>
      <x:c r="B3" s="129" t="str">
        <x:v>Bear</x:v>
      </x:c>
      <x:c r="C3" s="129" t="str">
        <x:v>Base</x:v>
      </x:c>
      <x:c r="D3" s="129" t="str">
        <x:v>Bull</x:v>
      </x:c>
      <x:c r="E3"/>
      <x:c r="F3"/>
    </x:row>
    <x:row r="4">
      <x:c r="A4" s="11" t="str">
        <x:v>2027 Revenue Growth</x:v>
      </x:c>
      <x:c r="B4" s="141" t="n">
        <x:v>0.02</x:v>
      </x:c>
      <x:c r="C4" s="141" t="n">
        <x:v>0.05</x:v>
      </x:c>
      <x:c r="D4" s="141" t="n">
        <x:v>0.07</x:v>
      </x:c>
      <x:c r="E4"/>
      <x:c r="F4"/>
    </x:row>
    <x:row r="5">
      <x:c r="A5" s="11" t="str">
        <x:v>2028 Revenue Growth</x:v>
      </x:c>
      <x:c r="B5" s="141" t="n">
        <x:v>0.02</x:v>
      </x:c>
      <x:c r="C5" s="141" t="n">
        <x:v>0.04</x:v>
      </x:c>
      <x:c r="D5" s="141" t="n">
        <x:v>0.05</x:v>
      </x:c>
      <x:c r="E5"/>
      <x:c r="F5"/>
    </x:row>
    <x:row r="6">
      <x:c r="A6" t="str">
        <x:v>2027 FCF Margin</x:v>
      </x:c>
      <x:c r="B6" s="141" t="n">
        <x:v>0.035</x:v>
      </x:c>
      <x:c r="C6" s="141" t="n">
        <x:v>0.045</x:v>
      </x:c>
      <x:c r="D6" s="141" t="n">
        <x:v>0.055</x:v>
      </x:c>
    </x:row>
    <x:row r="7">
      <x:c r="A7" t="str">
        <x:v>2028 FCF Margin</x:v>
      </x:c>
      <x:c r="B7" s="141" t="n">
        <x:v>0.04</x:v>
      </x:c>
      <x:c r="C7" s="141" t="n">
        <x:v>0.05</x:v>
      </x:c>
      <x:c r="D7" s="141" t="n">
        <x:v>0.06</x:v>
      </x:c>
    </x:row>
    <x:row r="8">
      <x:c r="A8" t="str">
        <x:v>Cost of Equity</x:v>
      </x:c>
      <x:c r="B8" s="141" t="n">
        <x:v>0.11</x:v>
      </x:c>
      <x:c r="C8" s="141" t="n">
        <x:v>0.1</x:v>
      </x:c>
      <x:c r="D8" s="141" t="n">
        <x:v>0.09</x:v>
      </x:c>
    </x:row>
    <x:row r="9">
      <x:c r="A9" t="str">
        <x:v>Terminal Growth</x:v>
      </x:c>
      <x:c r="B9" s="141" t="n">
        <x:v>0.02</x:v>
      </x:c>
      <x:c r="C9" s="141" t="n">
        <x:v>0.025</x:v>
      </x:c>
      <x:c r="D9" s="141" t="n">
        <x:v>0.03</x:v>
      </x:c>
    </x:row>
    <x:row r="10">
      <x:c r="A10" t="str">
        <x:v>2027 Revenue ($mm)</x:v>
      </x:c>
      <x:c r="B10" s="146" t="n">
        <x:f>'4_Forecast'!E5*(1+B4)</x:f>
        <x:v>76500.61200000001</x:v>
      </x:c>
      <x:c r="C10" s="146" t="n">
        <x:f>'4_Forecast'!E5*(1+C4)</x:f>
        <x:v>78750.63</x:v>
      </x:c>
      <x:c r="D10" s="146" t="n">
        <x:f>'4_Forecast'!E5*(1+D4)</x:f>
        <x:v>80250.642</x:v>
      </x:c>
    </x:row>
    <x:row r="11">
      <x:c r="A11" t="str">
        <x:v>2028 Revenue ($mm)</x:v>
      </x:c>
      <x:c r="B11" s="146" t="n">
        <x:f>B10*(1+B5)</x:f>
        <x:v>78030.62424</x:v>
      </x:c>
      <x:c r="C11" s="146" t="n">
        <x:f>C10*(1+C5)</x:f>
        <x:v>81900.65520000001</x:v>
      </x:c>
      <x:c r="D11" s="146" t="n">
        <x:f>D10*(1+D5)</x:f>
        <x:v>84263.1741</x:v>
      </x:c>
    </x:row>
    <x:row r="12">
      <x:c r="B12" s="131"/>
      <x:c r="C12" s="131"/>
      <x:c r="D12" s="131"/>
    </x:row>
    <x:row r="13">
      <x:c r="A13" s="95" t="str">
        <x:v>Valuation Output</x:v>
      </x:c>
      <x:c r="B13" s="129" t="str">
        <x:v>Bear</x:v>
      </x:c>
      <x:c r="C13" s="129" t="str">
        <x:v>Base</x:v>
      </x:c>
      <x:c r="D13" s="129" t="str">
        <x:v>Bull</x:v>
      </x:c>
    </x:row>
    <x:row r="14">
      <x:c r="A14" t="str">
        <x:v>2027 FCFE ($mm)</x:v>
      </x:c>
      <x:c r="B14" s="146" t="n">
        <x:f>B10*B6</x:f>
        <x:v>2677.5214200000005</x:v>
      </x:c>
      <x:c r="C14" s="146" t="n">
        <x:f>C10*C6</x:f>
        <x:v>3543.77835</x:v>
      </x:c>
      <x:c r="D14" s="146" t="n">
        <x:f>D10*D6</x:f>
        <x:v>4413.78531</x:v>
      </x:c>
    </x:row>
    <x:row r="15">
      <x:c r="A15" t="str">
        <x:v>2028 FCFE ($mm)</x:v>
      </x:c>
      <x:c r="B15" s="146" t="n">
        <x:f>B11*B7</x:f>
        <x:v>3121.2249696000003</x:v>
      </x:c>
      <x:c r="C15" s="146" t="n">
        <x:f>C11*C7</x:f>
        <x:v>4095.0327600000005</x:v>
      </x:c>
      <x:c r="D15" s="146" t="n">
        <x:f>D11*D7</x:f>
        <x:v>5055.790446</x:v>
      </x:c>
    </x:row>
    <x:row r="16">
      <x:c r="A16" t="str">
        <x:v>Implied Equity Value ($mm)</x:v>
      </x:c>
      <x:c r="B16" s="146" t="n">
        <x:f>B14/(1+B8)+B15/(1+B8)^2+(B15*(1+B9)/(B8-B9))/(1+B8)^2</x:f>
        <x:v>33655.67464864865</x:v>
      </x:c>
      <x:c r="C16" s="146" t="n">
        <x:f>C14/(1+C8)+C15/(1+C8)^2+(C15*(1+C9)/(C8-C9))/(1+C8)^2</x:f>
        <x:v>52858.377409090885</x:v>
      </x:c>
      <x:c r="D16" s="146" t="n">
        <x:f>D14/(1+D8)+D15/(1+D8)^2+(D15*(1+D9)/(D8-D9))/(1+D8)^2</x:f>
        <x:v>81355.00863302752</x:v>
      </x:c>
    </x:row>
    <x:row r="17">
      <x:c r="A17" t="str">
        <x:v>Implied Value / Share ($)</x:v>
      </x:c>
      <x:c r="B17" s="147" t="n">
        <x:f>B16/'5_Valuation'!$B$5</x:f>
        <x:v>51.155283151316056</x:v>
      </x:c>
      <x:c r="C17" s="147" t="n">
        <x:f>C16/'5_Valuation'!$B$5</x:f>
        <x:v>80.34262547132577</x:v>
      </x:c>
      <x:c r="D17" s="147" t="n">
        <x:f>D16/'5_Valuation'!$B$5</x:f>
        <x:v>123.65636837909555</x:v>
      </x:c>
    </x:row>
    <x:row r="18">
      <x:c r="A18" t="str">
        <x:v>Upside / (Downside)</x:v>
      </x:c>
      <x:c r="B18" s="148" t="n">
        <x:f>B17/'5_Valuation'!$B$4-1</x:f>
        <x:v>-0.314547994756585</x:v>
      </x:c>
      <x:c r="C18" s="148" t="n">
        <x:f>C17/'5_Valuation'!$B$4-1</x:f>
        <x:v>0.0765459663851773</x:v>
      </x:c>
      <x:c r="D18" s="148" t="n">
        <x:f>D17/'5_Valuation'!$B$4-1</x:f>
        <x:v>0.6569257453985737</x:v>
      </x:c>
    </x:row>
  </x:sheetData>
  <x:mergeCells>
    <x:mergeCell ref="A1:F1"/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81" t="str">
        <x:v>DAL Equity Research Thesis</x:v>
      </x:c>
      <x:c r="B1" s="81"/>
      <x:c r="C1" s="81"/>
      <x:c r="D1" s="81"/>
      <x:c r="E1" s="81"/>
      <x:c r="F1" s="81"/>
    </x:row>
    <x:row r="3">
      <x:c r="A3" s="95" t="str">
        <x:v>Item</x:v>
      </x:c>
      <x:c r="B3" s="95" t="str">
        <x:v>Research View</x:v>
      </x:c>
      <x:c r="C3"/>
      <x:c r="D3"/>
      <x:c r="E3"/>
      <x:c r="F3"/>
    </x:row>
    <x:row r="4">
      <x:c r="A4" s="11" t="str">
        <x:v>Rating / View</x:v>
      </x:c>
      <x:c r="B4" s="120" t="str">
        <x:v>HOLD / NEUTRAL</x:v>
      </x:c>
      <x:c r="C4"/>
      <x:c r="D4"/>
      <x:c r="E4"/>
      <x:c r="F4"/>
    </x:row>
    <x:row r="5">
      <x:c r="A5" s="11" t="str">
        <x:v>Current Price</x:v>
      </x:c>
      <x:c r="B5" s="120" t="str">
        <x:v>$74.63</x:v>
      </x:c>
      <x:c r="C5"/>
      <x:c r="D5"/>
      <x:c r="E5"/>
      <x:c r="F5"/>
    </x:row>
    <x:row r="6">
      <x:c r="A6" t="str">
        <x:v>Base-Case Fair Value</x:v>
      </x:c>
      <x:c r="B6" s="121" t="n">
        <x:f>'5_Valuation'!B22</x:f>
        <x:v>80.34262547132579</x:v>
      </x:c>
    </x:row>
    <x:row r="7">
      <x:c r="A7" t="str">
        <x:v>Core Debate</x:v>
      </x:c>
      <x:c r="B7" s="46" t="str">
        <x:v>Can strong pricing / premium demand offset elevated fuel and non-fuel unit costs?</x:v>
      </x:c>
    </x:row>
    <x:row r="8">
      <x:c r="A8" t="str">
        <x:v>Time Horizon</x:v>
      </x:c>
      <x:c r="B8" s="46" t="str">
        <x:v>12–18 months</x:v>
      </x:c>
    </x:row>
    <x:row r="10">
      <x:c r="A10" s="81" t="str">
        <x:v>Investment Thesis</x:v>
      </x:c>
      <x:c r="B10" s="81"/>
      <x:c r="C10" s="81"/>
      <x:c r="D10" s="81"/>
      <x:c r="E10" s="81"/>
      <x:c r="F10" s="81"/>
    </x:row>
    <x:row r="11">
      <x:c r="A11" s="82" t="str">
        <x:v>1</x:v>
      </x:c>
      <x:c r="B11" s="46" t="str">
        <x:v>Revenue momentum is strong: management guides Q4 revenue growth of ~20% YoY with seats growing &lt;2%, implying substantial unit-revenue improvement.</x:v>
      </x:c>
      <x:c r="C11" s="46" t="str"/>
      <x:c r="D11" s="46" t="str"/>
      <x:c r="E11" s="46" t="str"/>
      <x:c r="F11" s="46" t="str"/>
    </x:row>
    <x:row r="12">
      <x:c r="A12" s="82" t="str">
        <x:v>2</x:v>
      </x:c>
      <x:c r="B12" s="46" t="str">
        <x:v>Premium, loyalty, cargo and MRO streams are diversifying revenue and improving the quality of the mix; premium revenue grew 18% YoY in Q3 2026.</x:v>
      </x:c>
      <x:c r="C12" s="46" t="str"/>
      <x:c r="D12" s="46" t="str"/>
      <x:c r="E12" s="46" t="str"/>
      <x:c r="F12" s="46" t="str"/>
    </x:row>
    <x:row r="13">
      <x:c r="A13" s="82" t="str">
        <x:v>3</x:v>
      </x:c>
      <x:c r="B13" s="46" t="str">
        <x:v>Near-term earnings remain constrained by high fuel and rising non-fuel unit costs, limiting margin expansion despite strong revenue growth.</x:v>
      </x:c>
      <x:c r="C13" s="46" t="str"/>
      <x:c r="D13" s="46" t="str"/>
      <x:c r="E13" s="46" t="str"/>
      <x:c r="F13" s="46" t="str"/>
    </x:row>
    <x:row r="14">
      <x:c r="A14" s="82" t="str">
        <x:v>Conclusion</x:v>
      </x:c>
      <x:c r="B14" s="46" t="str">
        <x:v>Base-case DCF indicates only modest upside, so current valuation does not yet offer enough cushion for a high-conviction BUY.</x:v>
      </x:c>
      <x:c r="C14" s="46" t="str"/>
      <x:c r="D14" s="46" t="str"/>
      <x:c r="E14" s="46" t="str"/>
      <x:c r="F14" s="46" t="str"/>
    </x:row>
    <x:row r="16">
      <x:c r="A16" s="81" t="str">
        <x:v>Catalysts &amp; Risks</x:v>
      </x:c>
      <x:c r="B16" s="81"/>
      <x:c r="C16" s="81"/>
      <x:c r="D16" s="81"/>
      <x:c r="E16" s="81"/>
      <x:c r="F16" s="81"/>
    </x:row>
    <x:row r="17">
      <x:c r="A17" s="82" t="str">
        <x:v>Catalyst</x:v>
      </x:c>
      <x:c r="B17" s="46" t="str">
        <x:v>Fuel-price normalization could quickly expand margins because fuel is a large cost line.</x:v>
      </x:c>
      <x:c r="C17" s="46" t="str"/>
      <x:c r="D17" s="46" t="str"/>
      <x:c r="E17" s="46" t="str"/>
      <x:c r="F17" s="46" t="str"/>
    </x:row>
    <x:row r="18">
      <x:c r="A18" s="82" t="str">
        <x:v>Catalyst</x:v>
      </x:c>
      <x:c r="B18" s="46" t="str">
        <x:v>Continued premium / loyalty mix shift could sustain unit revenue above capacity growth.</x:v>
      </x:c>
      <x:c r="C18" s="46" t="str"/>
      <x:c r="D18" s="46" t="str"/>
      <x:c r="E18" s="46" t="str"/>
      <x:c r="F18" s="46" t="str"/>
    </x:row>
    <x:row r="19">
      <x:c r="A19" s="82" t="str">
        <x:v>Catalyst</x:v>
      </x:c>
      <x:c r="B19" s="46" t="str">
        <x:v>Debt paydown and balance-sheet improvement could support valuation rerating.</x:v>
      </x:c>
      <x:c r="C19" s="46" t="str"/>
      <x:c r="D19" s="46" t="str"/>
      <x:c r="E19" s="46" t="str"/>
      <x:c r="F19" s="46" t="str"/>
    </x:row>
    <x:row r="20">
      <x:c r="A20" s="82" t="str">
        <x:v>Risk</x:v>
      </x:c>
      <x:c r="B20" s="46" t="str">
        <x:v>Fuel remains structurally high; Q4 2026 guidance assumes ~$4.25/gal all-in fuel price.</x:v>
      </x:c>
      <x:c r="C20" s="46" t="str"/>
      <x:c r="D20" s="46" t="str"/>
      <x:c r="E20" s="46" t="str"/>
      <x:c r="F20" s="46" t="str"/>
    </x:row>
    <x:row r="21">
      <x:c r="A21" s="82" t="str">
        <x:v>Risk</x:v>
      </x:c>
      <x:c r="B21" s="46" t="str">
        <x:v>Non-fuel unit costs remain elevated, with Q3 CASM-Ex up 7% YoY.</x:v>
      </x:c>
      <x:c r="C21" s="46" t="str"/>
      <x:c r="D21" s="46" t="str"/>
      <x:c r="E21" s="46" t="str"/>
      <x:c r="F21" s="46" t="str"/>
    </x:row>
    <x:row r="22">
      <x:c r="A22" s="82" t="str">
        <x:v>Risk</x:v>
      </x:c>
      <x:c r="B22" s="46" t="str">
        <x:v>Airline demand and pricing are cyclical and exposed to macro shocks / capacity competition.</x:v>
      </x:c>
      <x:c r="C22" s="46" t="str"/>
      <x:c r="D22" s="46" t="str"/>
      <x:c r="E22" s="46" t="str"/>
      <x:c r="F22" s="46" t="str"/>
    </x:row>
  </x:sheetData>
  <x:mergeCells>
    <x:mergeCell ref="A1:F1"/>
    <x:mergeCell ref="A10:F10"/>
    <x:mergeCell ref="A16:F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8" hidden="0" customWidth="1"/>
    <x:col min="4" max="4" width="44" hidden="0" customWidth="1"/>
    <x:col min="5" max="5" width="42" hidden="0" customWidth="1"/>
    <x:col min="6" max="6" width="24" hidden="0" customWidth="1"/>
  </x:cols>
  <x:sheetData>
    <x:row r="1">
      <x:c r="A1" s="81" t="str">
        <x:v>Source Log</x:v>
      </x:c>
      <x:c r="B1" s="81"/>
      <x:c r="C1" s="81"/>
      <x:c r="D1" s="81"/>
      <x:c r="E1" s="81"/>
      <x:c r="F1" s="81"/>
    </x:row>
    <x:row r="3">
      <x:c r="A3" s="100" t="str">
        <x:v>Source</x:v>
      </x:c>
      <x:c r="B3" s="100" t="str">
        <x:v>Date / Period</x:v>
      </x:c>
      <x:c r="C3" s="100" t="str">
        <x:v>Used For</x:v>
      </x:c>
      <x:c r="D3" s="100" t="str">
        <x:v>File / URL</x:v>
      </x:c>
      <x:c r="E3" s="100" t="str">
        <x:v>Key Data</x:v>
      </x:c>
      <x:c r="F3" s="95" t="str">
        <x:v>Notes</x:v>
      </x:c>
    </x:row>
    <x:row r="4">
      <x:c r="A4" s="46" t="str">
        <x:v>Delta Air Lines 2025 Form 10-K</x:v>
      </x:c>
      <x:c r="B4" s="46" t="str">
        <x:v>FY ended 12/31/2025</x:v>
      </x:c>
      <x:c r="C4" s="46" t="str">
        <x:v>2023A–2025A historical financials and operating stats</x:v>
      </x:c>
      <x:c r="D4" s="46" t="str">
        <x:v>DAL-12-31-2025-10K-2-10-26-Filed.pdf</x:v>
      </x:c>
      <x:c r="E4" s="48" t="str">
        <x:v>Revenue, EBIT, EPS, OCF, CapEx, RPM/ASM, unit metrics, fuel</x:v>
      </x:c>
      <x:c r="F4" s="46" t="str">
        <x:v>Primary audited historical source</x:v>
      </x:c>
    </x:row>
    <x:row r="5">
      <x:c r="A5" s="46" t="str">
        <x:v>Delta Air Lines 2024 Form 10-K</x:v>
      </x:c>
      <x:c r="B5" s="46" t="str">
        <x:v>FY ended 12/31/2024</x:v>
      </x:c>
      <x:c r="C5" s="46" t="str">
        <x:v>2023 operating statistics cross-check</x:v>
      </x:c>
      <x:c r="D5" s="46" t="str">
        <x:v>DAL-12-31-2024-10K-2-11-25-Filed.pdf</x:v>
      </x:c>
      <x:c r="E5" s="48" t="str">
        <x:v>2023 RPM, ASM, load factor, yield, PRASM, TRASM, CASM, CASM-Ex</x:v>
      </x:c>
      <x:c r="F5" s="46" t="str">
        <x:v>Primary 2023 KPI source</x:v>
      </x:c>
    </x:row>
    <x:row r="6">
      <x:c r="A6" s="46" t="str">
        <x:v>Delta Air Lines Q3 2026 Form 10-Q</x:v>
      </x:c>
      <x:c r="B6" s="46" t="str">
        <x:v>9M ended 9/30/2026</x:v>
      </x:c>
      <x:c r="C6" s="46" t="str">
        <x:v>9M26 actual financials and operating stats</x:v>
      </x:c>
      <x:c r="D6" s="101" t="str">
        <x:v>35c2864e-d8c8-4f3e-8b9e-1355755b7625.pdf</x:v>
      </x:c>
      <x:c r="E6" s="48" t="str">
        <x:v>Revenue, operating income, net income, EPS, OCF, CapEx, RPM/ASM, unit metrics</x:v>
      </x:c>
      <x:c r="F6" s="46" t="str">
        <x:v>Unaudited interim actuals</x:v>
      </x:c>
    </x:row>
    <x:row r="7">
      <x:c r="A7" s="46" t="str">
        <x:v>Delta Air Lines Q3 2026 8-K / Earnings Release</x:v>
      </x:c>
      <x:c r="B7" s="46" t="str">
        <x:v>10/9/2026</x:v>
      </x:c>
      <x:c r="C7" s="46" t="str">
        <x:v>Q4 and FY26 guidance</x:v>
      </x:c>
      <x:c r="D7" s="101" t="str">
        <x:v>93e04bf9-1d3f-44de-9f16-b61d8c973b2d.pdf</x:v>
      </x:c>
      <x:c r="E7" s="48" t="str">
        <x:v>Q4 revenue +~20%, 7–9% op margin, FY EPS $5.10–$5.60, FY FCF ~$2.5B, pretax ~$4.5B</x:v>
      </x:c>
      <x:c r="F7" s="46" t="str">
        <x:v>Management guidance</x:v>
      </x:c>
    </x:row>
    <x:row r="8">
      <x:c r="A8" s="46" t="str">
        <x:v>Yahoo Finance — DAL</x:v>
      </x:c>
      <x:c r="B8" s="46" t="str">
        <x:v>10/19/2026</x:v>
      </x:c>
      <x:c r="C8" s="46" t="str">
        <x:v>Current market price / valuation cross-check</x:v>
      </x:c>
      <x:c r="D8" s="101" t="str">
        <x:v>https://finance.yahoo.com/quote/DAL/</x:v>
      </x:c>
      <x:c r="E8" s="46" t="str">
        <x:v>$74.63 close; TTM P/E 14.90x; forward P/E 9.18x; avg target $101.07</x:v>
      </x:c>
      <x:c r="F8" s="46" t="str">
        <x:v>Market data</x:v>
      </x:c>
    </x:row>
    <x:row r="9">
      <x:c r="A9" s="46" t="str">
        <x:v>Yahoo Finance — UAL</x:v>
      </x:c>
      <x:c r="B9" s="46" t="str">
        <x:v>10/19/2026</x:v>
      </x:c>
      <x:c r="C9" s="46" t="str">
        <x:v>Peer valuation cross-check</x:v>
      </x:c>
      <x:c r="D9" s="101" t="str">
        <x:v>https://finance.yahoo.com/quote/UAL/</x:v>
      </x:c>
      <x:c r="E9" s="46" t="str">
        <x:v>$95.60 close; TTM P/E 8.95x; forward P/E 7.39x; avg target $152.48</x:v>
      </x:c>
      <x:c r="F9" s="46" t="str">
        <x:v>Market data</x:v>
      </x:c>
    </x:row>
    <x:row r="10">
      <x:c r="A10" s="46"/>
      <x:c r="B10" s="46"/>
      <x:c r="C10" s="46"/>
      <x:c r="D10" s="46"/>
      <x:c r="E10" s="46"/>
    </x:row>
    <x:row r="11">
      <x:c r="A11" s="46"/>
      <x:c r="B11" s="46"/>
      <x:c r="C11" s="46"/>
      <x:c r="D11" s="46"/>
      <x:c r="E11" s="46"/>
    </x:row>
    <x:row r="12">
      <x:c r="A12" s="46"/>
      <x:c r="B12" s="46"/>
      <x:c r="C12" s="46"/>
      <x:c r="D12" s="46"/>
      <x:c r="E12" s="46"/>
    </x:row>
    <x:row r="13">
      <x:c r="A13" s="46"/>
      <x:c r="B13" s="46"/>
      <x:c r="C13" s="46"/>
      <x:c r="D13" s="46"/>
      <x:c r="E13" s="46"/>
    </x:row>
    <x:row r="14">
      <x:c r="A14" s="46"/>
      <x:c r="B14" s="46"/>
      <x:c r="C14" s="46"/>
      <x:c r="D14" s="46"/>
      <x:c r="E14" s="46"/>
    </x:row>
    <x:row r="15">
      <x:c r="A15" s="46"/>
      <x:c r="B15" s="46"/>
      <x:c r="C15" s="46"/>
      <x:c r="D15" s="46"/>
      <x:c r="E15" s="46"/>
    </x:row>
    <x:row r="16">
      <x:c r="A16" s="46"/>
      <x:c r="B16" s="46"/>
      <x:c r="C16" s="46"/>
      <x:c r="D16" s="46"/>
      <x:c r="E16" s="46"/>
    </x:row>
    <x:row r="17">
      <x:c r="A17" s="46"/>
      <x:c r="B17" s="46"/>
      <x:c r="C17" s="46"/>
      <x:c r="D17" s="46"/>
      <x:c r="E17" s="46"/>
    </x:row>
    <x:row r="18">
      <x:c r="A18" s="46"/>
      <x:c r="B18" s="46"/>
      <x:c r="C18" s="46"/>
      <x:c r="D18" s="46"/>
      <x:c r="E18" s="46"/>
    </x:row>
    <x:row r="19">
      <x:c r="A19" s="46"/>
      <x:c r="B19" s="46"/>
      <x:c r="C19" s="46"/>
      <x:c r="D19" s="46"/>
      <x:c r="E19" s="46"/>
    </x:row>
    <x:row r="20">
      <x:c r="A20" s="46"/>
      <x:c r="B20" s="46"/>
      <x:c r="C20" s="46"/>
      <x:c r="D20" s="46"/>
      <x:c r="E20" s="46"/>
    </x:row>
  </x:sheetData>
  <x:mergeCells>
    <x:mergeCell ref="A1:E1"/>
    <x:mergeCell ref="A1:F1"/>
  </x:mergeCells>
  <x:pageMargins left="0.7" right="0.7" top="0.75" bottom="0.75" header="0.3" footer="0.3"/>
</x:worksheet>
</file>